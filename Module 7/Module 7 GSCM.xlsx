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Module 7\"/>
    </mc:Choice>
  </mc:AlternateContent>
  <xr:revisionPtr revIDLastSave="0" documentId="8_{2DA5112B-48D9-4729-8185-74D2DA764DCB}" xr6:coauthVersionLast="47" xr6:coauthVersionMax="47" xr10:uidLastSave="{00000000-0000-0000-0000-000000000000}"/>
  <bookViews>
    <workbookView xWindow="-110" yWindow="-110" windowWidth="19420" windowHeight="10300" xr2:uid="{1D661ACA-C19F-4C86-8F28-216DAD300FCB}"/>
  </bookViews>
  <sheets>
    <sheet name="Solved" sheetId="3" r:id="rId1"/>
    <sheet name="Constraints" sheetId="1" r:id="rId2"/>
    <sheet name="Locations" sheetId="2" r:id="rId3"/>
  </sheets>
  <definedNames>
    <definedName name="solver_adj" localSheetId="0" hidden="1">Solved!$B$6:$B$19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Solved!$B$6:$B$18</definedName>
    <definedName name="solver_lhs2" localSheetId="0" hidden="1">Solved!$B$6:$B$19</definedName>
    <definedName name="solver_lhs3" localSheetId="0" hidden="1">Solved!$M$6:$M$13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Solved!$F$2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2</definedName>
    <definedName name="solver_rhs1" localSheetId="0" hidden="1">0</definedName>
    <definedName name="solver_rhs2" localSheetId="0" hidden="1">Solved!$G$6:$G$19</definedName>
    <definedName name="solver_rhs3" localSheetId="0" hidden="1">Solved!$N$6:$N$13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0"/>
</workbook>
</file>

<file path=xl/calcChain.xml><?xml version="1.0" encoding="utf-8"?>
<calcChain xmlns="http://schemas.openxmlformats.org/spreadsheetml/2006/main">
  <c r="F2" i="3" l="1"/>
  <c r="L6" i="3"/>
  <c r="K6" i="3"/>
  <c r="L7" i="3"/>
  <c r="K7" i="3"/>
  <c r="L8" i="3"/>
  <c r="L9" i="3"/>
  <c r="L10" i="3"/>
  <c r="L11" i="3"/>
  <c r="L12" i="3"/>
  <c r="L13" i="3"/>
  <c r="K8" i="3"/>
  <c r="K9" i="3"/>
  <c r="K10" i="3"/>
  <c r="K11" i="3"/>
  <c r="K12" i="3"/>
  <c r="K13" i="3"/>
  <c r="F19" i="3"/>
  <c r="D19" i="3"/>
  <c r="F7" i="3"/>
  <c r="F8" i="3"/>
  <c r="F9" i="3"/>
  <c r="F10" i="3"/>
  <c r="F11" i="3"/>
  <c r="F12" i="3"/>
  <c r="F13" i="3"/>
  <c r="F14" i="3"/>
  <c r="F15" i="3"/>
  <c r="F16" i="3"/>
  <c r="F17" i="3"/>
  <c r="F18" i="3"/>
  <c r="F6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M6" i="3" l="1"/>
  <c r="M13" i="3"/>
  <c r="M8" i="3"/>
  <c r="M7" i="3"/>
  <c r="M11" i="3"/>
  <c r="M10" i="3"/>
  <c r="M9" i="3"/>
  <c r="M12" i="3"/>
</calcChain>
</file>

<file path=xl/sharedStrings.xml><?xml version="1.0" encoding="utf-8"?>
<sst xmlns="http://schemas.openxmlformats.org/spreadsheetml/2006/main" count="32" uniqueCount="24">
  <si>
    <t>to</t>
  </si>
  <si>
    <t>from</t>
  </si>
  <si>
    <t>capacity_of_molten_chocolate</t>
  </si>
  <si>
    <t>location_id</t>
  </si>
  <si>
    <t>location_name</t>
  </si>
  <si>
    <t>Butter Pecan Bluff</t>
  </si>
  <si>
    <t>Fruity Gusher Geyser</t>
  </si>
  <si>
    <t>Gingerbread Glades</t>
  </si>
  <si>
    <t>Jelly River Delta</t>
  </si>
  <si>
    <t>Pixie Stix Plateau</t>
  </si>
  <si>
    <t>Pudding Peaks</t>
  </si>
  <si>
    <t>Strawberry Swirl Stream</t>
  </si>
  <si>
    <t>Toffee Town</t>
  </si>
  <si>
    <t>Maximal Flow -&gt;</t>
  </si>
  <si>
    <t>Units of Flow</t>
  </si>
  <si>
    <t>Links</t>
  </si>
  <si>
    <t>Upper Bound</t>
  </si>
  <si>
    <t>Supply / Demand</t>
  </si>
  <si>
    <t>From</t>
  </si>
  <si>
    <t>To</t>
  </si>
  <si>
    <t>Nodes</t>
  </si>
  <si>
    <t>Inflow</t>
  </si>
  <si>
    <t>Outflow</t>
  </si>
  <si>
    <t>Net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</si>
</sst>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 applyAlignment="1">
      <alignment horizontal="right"/>
    </xf>
    <xf numFmtId="0" fontId="0" fillId="33" borderId="10" xfId="0" applyFill="1" applyBorder="1"/>
    <xf numFmtId="0" fontId="0" fillId="34" borderId="0" xfId="0" applyFill="1" applyAlignment="1">
      <alignment horizontal="center"/>
    </xf>
    <xf numFmtId="0" fontId="0" fillId="35" borderId="11" xfId="0" applyFill="1" applyBorder="1" applyAlignment="1">
      <alignment horizontal="center"/>
    </xf>
    <xf numFmtId="0" fontId="0" fillId="37" borderId="11" xfId="0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18" fillId="38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4" borderId="0" xfId="0" applyFill="1" applyAlignment="1">
      <alignment horizontal="center" wrapText="1"/>
    </xf>
    <xf numFmtId="0" fontId="0" fillId="34" borderId="11" xfId="0" applyFill="1" applyBorder="1" applyAlignment="1">
      <alignment horizontal="center" wrapText="1"/>
    </xf>
    <xf numFmtId="0" fontId="0" fillId="36" borderId="11" xfId="0" applyFill="1" applyBorder="1" applyAlignment="1">
      <alignment horizontal="center"/>
    </xf>
    <xf numFmtId="0" fontId="0" fillId="0" borderId="0" xfId="0" applyAlignment="1"/>
    <xf numFmtId="0" fontId="16" fillId="0" borderId="12" xfId="0" applyFon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87BE-552F-4646-A416-F0D3A8F04F3C}">
  <dimension ref="B1:N22"/>
  <sheetViews>
    <sheetView tabSelected="1" topLeftCell="G1" zoomScale="80" zoomScaleNormal="80" workbookViewId="0">
      <selection activeCell="E17" sqref="E17"/>
    </sheetView>
  </sheetViews>
  <sheetFormatPr defaultRowHeight="14.5" x14ac:dyDescent="0.35"/>
  <cols>
    <col min="2" max="2" width="11.08984375" bestFit="1" customWidth="1"/>
    <col min="4" max="4" width="20" bestFit="1" customWidth="1"/>
    <col min="6" max="6" width="20.453125" bestFit="1" customWidth="1"/>
    <col min="10" max="10" width="20" bestFit="1" customWidth="1"/>
  </cols>
  <sheetData>
    <row r="1" spans="2:14" ht="15" thickBot="1" x14ac:dyDescent="0.4"/>
    <row r="2" spans="2:14" ht="15" thickBot="1" x14ac:dyDescent="0.4">
      <c r="C2" s="1" t="s">
        <v>13</v>
      </c>
      <c r="D2" s="1"/>
      <c r="E2" s="14"/>
      <c r="F2" s="2">
        <f>B19</f>
        <v>399</v>
      </c>
    </row>
    <row r="4" spans="2:14" ht="29" x14ac:dyDescent="0.35">
      <c r="B4" s="10" t="s">
        <v>14</v>
      </c>
      <c r="C4" s="3" t="s">
        <v>15</v>
      </c>
      <c r="D4" s="3"/>
      <c r="E4" s="3"/>
      <c r="F4" s="3"/>
      <c r="G4" s="10" t="s">
        <v>16</v>
      </c>
      <c r="I4" s="3"/>
      <c r="J4" s="3"/>
      <c r="K4" s="3"/>
      <c r="L4" s="3"/>
      <c r="M4" s="3"/>
      <c r="N4" s="10" t="s">
        <v>17</v>
      </c>
    </row>
    <row r="5" spans="2:14" ht="15" thickBot="1" x14ac:dyDescent="0.4">
      <c r="B5" s="11"/>
      <c r="C5" s="4" t="s">
        <v>18</v>
      </c>
      <c r="D5" s="4"/>
      <c r="E5" s="12" t="s">
        <v>19</v>
      </c>
      <c r="F5" s="12"/>
      <c r="G5" s="11"/>
      <c r="I5" s="6" t="s">
        <v>20</v>
      </c>
      <c r="J5" s="6"/>
      <c r="K5" s="4" t="s">
        <v>21</v>
      </c>
      <c r="L5" s="5" t="s">
        <v>22</v>
      </c>
      <c r="M5" s="6" t="s">
        <v>23</v>
      </c>
      <c r="N5" s="11"/>
    </row>
    <row r="6" spans="2:14" ht="14.5" customHeight="1" thickTop="1" x14ac:dyDescent="0.35">
      <c r="B6" s="7">
        <v>153</v>
      </c>
      <c r="C6">
        <v>0</v>
      </c>
      <c r="D6" t="str">
        <f>VLOOKUP(C6,$I$6:$J$13,2,0)</f>
        <v>Butter Pecan Bluff</v>
      </c>
      <c r="E6">
        <v>1</v>
      </c>
      <c r="F6" t="str">
        <f>_xlfn.XLOOKUP(E6,$I$6:$I$13,$J$6:$J$13)</f>
        <v>Fruity Gusher Geyser</v>
      </c>
      <c r="G6">
        <v>204</v>
      </c>
      <c r="I6" s="8">
        <v>0</v>
      </c>
      <c r="J6" t="s">
        <v>5</v>
      </c>
      <c r="K6" s="9">
        <f>SUMIF($E$6:$E$19,I6,$B$6:$B$19)</f>
        <v>399</v>
      </c>
      <c r="L6" s="9">
        <f>SUMIF($C$6:$C$19,I6,$B$6:$B$19)</f>
        <v>399</v>
      </c>
      <c r="M6" s="9">
        <f>K6-L6</f>
        <v>0</v>
      </c>
      <c r="N6" s="8">
        <v>0</v>
      </c>
    </row>
    <row r="7" spans="2:14" ht="14.5" customHeight="1" x14ac:dyDescent="0.35">
      <c r="B7" s="7">
        <v>132</v>
      </c>
      <c r="C7">
        <v>0</v>
      </c>
      <c r="D7" t="str">
        <f>VLOOKUP(C6,$I$6:$J$13,2,0)</f>
        <v>Butter Pecan Bluff</v>
      </c>
      <c r="E7">
        <v>2</v>
      </c>
      <c r="F7" t="str">
        <f t="shared" ref="F7:F19" si="0">_xlfn.XLOOKUP(E7,$I$6:$I$13,$J$6:$J$13)</f>
        <v>Gingerbread Glades</v>
      </c>
      <c r="G7">
        <v>132</v>
      </c>
      <c r="I7" s="8">
        <v>1</v>
      </c>
      <c r="J7" t="s">
        <v>6</v>
      </c>
      <c r="K7" s="9">
        <f>SUMIF($E$6:$E$19,I7,$B$6:$B$19)</f>
        <v>153</v>
      </c>
      <c r="L7" s="9">
        <f>SUMIF($C$6:$C$19,I7,$B$6:$B$19)</f>
        <v>153</v>
      </c>
      <c r="M7" s="9">
        <f t="shared" ref="M7:M13" si="1">K7-L7</f>
        <v>0</v>
      </c>
      <c r="N7" s="8">
        <v>0</v>
      </c>
    </row>
    <row r="8" spans="2:14" x14ac:dyDescent="0.35">
      <c r="B8" s="7">
        <v>114</v>
      </c>
      <c r="C8">
        <v>0</v>
      </c>
      <c r="D8" t="str">
        <f t="shared" ref="D7:D19" si="2">VLOOKUP(C8,$I$6:$J$13,2,0)</f>
        <v>Butter Pecan Bluff</v>
      </c>
      <c r="E8">
        <v>3</v>
      </c>
      <c r="F8" t="str">
        <f t="shared" si="0"/>
        <v>Jelly River Delta</v>
      </c>
      <c r="G8">
        <v>121</v>
      </c>
      <c r="I8" s="8">
        <v>2</v>
      </c>
      <c r="J8" t="s">
        <v>7</v>
      </c>
      <c r="K8" s="9">
        <f t="shared" ref="K7:K13" si="3">SUMIF($E$6:$E$19,I8,$B$6:$B$19)</f>
        <v>132</v>
      </c>
      <c r="L8" s="9">
        <f t="shared" ref="L7:L13" si="4">SUMIF($C$6:$C$19,I8,$B$6:$B$19)</f>
        <v>132</v>
      </c>
      <c r="M8" s="9">
        <f t="shared" si="1"/>
        <v>0</v>
      </c>
      <c r="N8" s="8">
        <v>0</v>
      </c>
    </row>
    <row r="9" spans="2:14" x14ac:dyDescent="0.35">
      <c r="B9" s="7">
        <v>153</v>
      </c>
      <c r="C9">
        <v>1</v>
      </c>
      <c r="D9" t="str">
        <f t="shared" si="2"/>
        <v>Fruity Gusher Geyser</v>
      </c>
      <c r="E9">
        <v>6</v>
      </c>
      <c r="F9" t="str">
        <f t="shared" si="0"/>
        <v>Strawberry Swirl Stream</v>
      </c>
      <c r="G9">
        <v>237</v>
      </c>
      <c r="I9" s="8">
        <v>3</v>
      </c>
      <c r="J9" t="s">
        <v>8</v>
      </c>
      <c r="K9" s="9">
        <f t="shared" si="3"/>
        <v>114</v>
      </c>
      <c r="L9" s="9">
        <f t="shared" si="4"/>
        <v>114</v>
      </c>
      <c r="M9" s="9">
        <f t="shared" si="1"/>
        <v>0</v>
      </c>
      <c r="N9" s="8">
        <v>0</v>
      </c>
    </row>
    <row r="10" spans="2:14" x14ac:dyDescent="0.35">
      <c r="B10" s="7">
        <v>0</v>
      </c>
      <c r="C10">
        <v>2</v>
      </c>
      <c r="D10" t="str">
        <f t="shared" si="2"/>
        <v>Gingerbread Glades</v>
      </c>
      <c r="E10">
        <v>3</v>
      </c>
      <c r="F10" t="str">
        <f t="shared" si="0"/>
        <v>Jelly River Delta</v>
      </c>
      <c r="G10">
        <v>270</v>
      </c>
      <c r="I10" s="8">
        <v>4</v>
      </c>
      <c r="J10" t="s">
        <v>9</v>
      </c>
      <c r="K10" s="9">
        <f t="shared" si="3"/>
        <v>132</v>
      </c>
      <c r="L10" s="9">
        <f t="shared" si="4"/>
        <v>132</v>
      </c>
      <c r="M10" s="9">
        <f t="shared" si="1"/>
        <v>0</v>
      </c>
      <c r="N10" s="8">
        <v>0</v>
      </c>
    </row>
    <row r="11" spans="2:14" x14ac:dyDescent="0.35">
      <c r="B11" s="7">
        <v>132</v>
      </c>
      <c r="C11">
        <v>2</v>
      </c>
      <c r="D11" t="str">
        <f t="shared" si="2"/>
        <v>Gingerbread Glades</v>
      </c>
      <c r="E11">
        <v>4</v>
      </c>
      <c r="F11" t="str">
        <f t="shared" si="0"/>
        <v>Pixie Stix Plateau</v>
      </c>
      <c r="G11">
        <v>179</v>
      </c>
      <c r="I11" s="8">
        <v>5</v>
      </c>
      <c r="J11" t="s">
        <v>10</v>
      </c>
      <c r="K11" s="9">
        <f t="shared" si="3"/>
        <v>0</v>
      </c>
      <c r="L11" s="9">
        <f t="shared" si="4"/>
        <v>0</v>
      </c>
      <c r="M11" s="9">
        <f t="shared" si="1"/>
        <v>0</v>
      </c>
      <c r="N11" s="8">
        <v>0</v>
      </c>
    </row>
    <row r="12" spans="2:14" x14ac:dyDescent="0.35">
      <c r="B12" s="7">
        <v>0</v>
      </c>
      <c r="C12">
        <v>2</v>
      </c>
      <c r="D12" t="str">
        <f t="shared" si="2"/>
        <v>Gingerbread Glades</v>
      </c>
      <c r="E12">
        <v>5</v>
      </c>
      <c r="F12" t="str">
        <f t="shared" si="0"/>
        <v>Pudding Peaks</v>
      </c>
      <c r="G12">
        <v>223</v>
      </c>
      <c r="I12" s="8">
        <v>6</v>
      </c>
      <c r="J12" t="s">
        <v>11</v>
      </c>
      <c r="K12" s="9">
        <f t="shared" si="3"/>
        <v>267</v>
      </c>
      <c r="L12" s="9">
        <f t="shared" si="4"/>
        <v>267</v>
      </c>
      <c r="M12" s="9">
        <f t="shared" si="1"/>
        <v>0</v>
      </c>
      <c r="N12" s="8">
        <v>0</v>
      </c>
    </row>
    <row r="13" spans="2:14" x14ac:dyDescent="0.35">
      <c r="B13" s="7">
        <v>114</v>
      </c>
      <c r="C13">
        <v>3</v>
      </c>
      <c r="D13" t="str">
        <f t="shared" si="2"/>
        <v>Jelly River Delta</v>
      </c>
      <c r="E13">
        <v>6</v>
      </c>
      <c r="F13" t="str">
        <f t="shared" si="0"/>
        <v>Strawberry Swirl Stream</v>
      </c>
      <c r="G13">
        <v>114</v>
      </c>
      <c r="I13" s="8">
        <v>7</v>
      </c>
      <c r="J13" t="s">
        <v>12</v>
      </c>
      <c r="K13" s="9">
        <f t="shared" si="3"/>
        <v>399</v>
      </c>
      <c r="L13" s="9">
        <f t="shared" si="4"/>
        <v>399</v>
      </c>
      <c r="M13" s="9">
        <f t="shared" si="1"/>
        <v>0</v>
      </c>
      <c r="N13" s="8">
        <v>0</v>
      </c>
    </row>
    <row r="14" spans="2:14" x14ac:dyDescent="0.35">
      <c r="B14" s="7">
        <v>132</v>
      </c>
      <c r="C14">
        <v>4</v>
      </c>
      <c r="D14" t="str">
        <f t="shared" si="2"/>
        <v>Pixie Stix Plateau</v>
      </c>
      <c r="E14">
        <v>7</v>
      </c>
      <c r="F14" t="str">
        <f t="shared" si="0"/>
        <v>Toffee Town</v>
      </c>
      <c r="G14">
        <v>243</v>
      </c>
    </row>
    <row r="15" spans="2:14" x14ac:dyDescent="0.35">
      <c r="B15" s="7">
        <v>0</v>
      </c>
      <c r="C15">
        <v>4</v>
      </c>
      <c r="D15" t="str">
        <f t="shared" si="2"/>
        <v>Pixie Stix Plateau</v>
      </c>
      <c r="E15">
        <v>5</v>
      </c>
      <c r="F15" t="str">
        <f t="shared" si="0"/>
        <v>Pudding Peaks</v>
      </c>
      <c r="G15">
        <v>194</v>
      </c>
    </row>
    <row r="16" spans="2:14" x14ac:dyDescent="0.35">
      <c r="B16" s="7">
        <v>0</v>
      </c>
      <c r="C16">
        <v>5</v>
      </c>
      <c r="D16" t="str">
        <f t="shared" si="2"/>
        <v>Pudding Peaks</v>
      </c>
      <c r="E16">
        <v>7</v>
      </c>
      <c r="F16" t="str">
        <f t="shared" si="0"/>
        <v>Toffee Town</v>
      </c>
      <c r="G16">
        <v>108</v>
      </c>
    </row>
    <row r="17" spans="2:7" x14ac:dyDescent="0.35">
      <c r="B17" s="7">
        <v>0</v>
      </c>
      <c r="C17">
        <v>5</v>
      </c>
      <c r="D17" t="str">
        <f t="shared" si="2"/>
        <v>Pudding Peaks</v>
      </c>
      <c r="E17">
        <v>1</v>
      </c>
      <c r="F17" t="str">
        <f t="shared" si="0"/>
        <v>Fruity Gusher Geyser</v>
      </c>
      <c r="G17">
        <v>285</v>
      </c>
    </row>
    <row r="18" spans="2:7" x14ac:dyDescent="0.35">
      <c r="B18" s="7">
        <v>267</v>
      </c>
      <c r="C18">
        <v>6</v>
      </c>
      <c r="D18" t="str">
        <f t="shared" si="2"/>
        <v>Strawberry Swirl Stream</v>
      </c>
      <c r="E18">
        <v>7</v>
      </c>
      <c r="F18" t="str">
        <f t="shared" si="0"/>
        <v>Toffee Town</v>
      </c>
      <c r="G18">
        <v>267</v>
      </c>
    </row>
    <row r="19" spans="2:7" x14ac:dyDescent="0.35">
      <c r="B19" s="7">
        <v>399</v>
      </c>
      <c r="C19">
        <v>7</v>
      </c>
      <c r="D19" t="str">
        <f t="shared" si="2"/>
        <v>Toffee Town</v>
      </c>
      <c r="E19">
        <v>0</v>
      </c>
      <c r="F19" t="str">
        <f t="shared" si="0"/>
        <v>Butter Pecan Bluff</v>
      </c>
      <c r="G19">
        <v>9999</v>
      </c>
    </row>
    <row r="22" spans="2:7" x14ac:dyDescent="0.35">
      <c r="C22" s="13"/>
    </row>
  </sheetData>
  <mergeCells count="1">
    <mergeCell ref="C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0C26-1BF4-43B4-82F1-1E186C69964C}">
  <dimension ref="A1:C14"/>
  <sheetViews>
    <sheetView workbookViewId="0">
      <selection activeCell="B2" sqref="B2:B14"/>
    </sheetView>
  </sheetViews>
  <sheetFormatPr defaultRowHeight="14.5" x14ac:dyDescent="0.35"/>
  <cols>
    <col min="3" max="3" width="25.81640625" bestFit="1" customWidth="1"/>
  </cols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>
        <v>0</v>
      </c>
      <c r="B2">
        <v>1</v>
      </c>
      <c r="C2">
        <v>204</v>
      </c>
    </row>
    <row r="3" spans="1:3" x14ac:dyDescent="0.35">
      <c r="A3">
        <v>0</v>
      </c>
      <c r="B3">
        <v>2</v>
      </c>
      <c r="C3">
        <v>132</v>
      </c>
    </row>
    <row r="4" spans="1:3" x14ac:dyDescent="0.35">
      <c r="A4">
        <v>0</v>
      </c>
      <c r="B4">
        <v>3</v>
      </c>
      <c r="C4">
        <v>121</v>
      </c>
    </row>
    <row r="5" spans="1:3" x14ac:dyDescent="0.35">
      <c r="A5">
        <v>1</v>
      </c>
      <c r="B5">
        <v>6</v>
      </c>
      <c r="C5">
        <v>237</v>
      </c>
    </row>
    <row r="6" spans="1:3" x14ac:dyDescent="0.35">
      <c r="A6">
        <v>2</v>
      </c>
      <c r="B6">
        <v>3</v>
      </c>
      <c r="C6">
        <v>270</v>
      </c>
    </row>
    <row r="7" spans="1:3" x14ac:dyDescent="0.35">
      <c r="A7">
        <v>2</v>
      </c>
      <c r="B7">
        <v>4</v>
      </c>
      <c r="C7">
        <v>179</v>
      </c>
    </row>
    <row r="8" spans="1:3" x14ac:dyDescent="0.35">
      <c r="A8">
        <v>2</v>
      </c>
      <c r="B8">
        <v>5</v>
      </c>
      <c r="C8">
        <v>223</v>
      </c>
    </row>
    <row r="9" spans="1:3" x14ac:dyDescent="0.35">
      <c r="A9">
        <v>3</v>
      </c>
      <c r="B9">
        <v>6</v>
      </c>
      <c r="C9">
        <v>114</v>
      </c>
    </row>
    <row r="10" spans="1:3" x14ac:dyDescent="0.35">
      <c r="A10">
        <v>4</v>
      </c>
      <c r="B10">
        <v>7</v>
      </c>
      <c r="C10">
        <v>243</v>
      </c>
    </row>
    <row r="11" spans="1:3" x14ac:dyDescent="0.35">
      <c r="A11">
        <v>4</v>
      </c>
      <c r="B11">
        <v>5</v>
      </c>
      <c r="C11">
        <v>194</v>
      </c>
    </row>
    <row r="12" spans="1:3" x14ac:dyDescent="0.35">
      <c r="A12">
        <v>5</v>
      </c>
      <c r="B12">
        <v>7</v>
      </c>
      <c r="C12">
        <v>108</v>
      </c>
    </row>
    <row r="13" spans="1:3" x14ac:dyDescent="0.35">
      <c r="A13">
        <v>5</v>
      </c>
      <c r="B13">
        <v>1</v>
      </c>
      <c r="C13">
        <v>285</v>
      </c>
    </row>
    <row r="14" spans="1:3" x14ac:dyDescent="0.35">
      <c r="A14">
        <v>6</v>
      </c>
      <c r="B14">
        <v>7</v>
      </c>
      <c r="C14">
        <v>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C05F-8506-4C7D-80E4-32509E52B063}">
  <dimension ref="A1:B9"/>
  <sheetViews>
    <sheetView workbookViewId="0">
      <selection activeCell="B2" sqref="B2:B9"/>
    </sheetView>
  </sheetViews>
  <sheetFormatPr defaultRowHeight="14.5" x14ac:dyDescent="0.35"/>
  <cols>
    <col min="1" max="1" width="9.6328125" bestFit="1" customWidth="1"/>
    <col min="2" max="2" width="20" bestFit="1" customWidth="1"/>
  </cols>
  <sheetData>
    <row r="1" spans="1:2" x14ac:dyDescent="0.35">
      <c r="A1" t="s">
        <v>3</v>
      </c>
      <c r="B1" t="s">
        <v>4</v>
      </c>
    </row>
    <row r="2" spans="1:2" x14ac:dyDescent="0.35">
      <c r="A2">
        <v>0</v>
      </c>
      <c r="B2" t="s">
        <v>5</v>
      </c>
    </row>
    <row r="3" spans="1:2" x14ac:dyDescent="0.35">
      <c r="A3">
        <v>1</v>
      </c>
      <c r="B3" t="s">
        <v>6</v>
      </c>
    </row>
    <row r="4" spans="1:2" x14ac:dyDescent="0.35">
      <c r="A4">
        <v>2</v>
      </c>
      <c r="B4" t="s">
        <v>7</v>
      </c>
    </row>
    <row r="5" spans="1:2" x14ac:dyDescent="0.35">
      <c r="A5">
        <v>3</v>
      </c>
      <c r="B5" t="s">
        <v>8</v>
      </c>
    </row>
    <row r="6" spans="1:2" x14ac:dyDescent="0.35">
      <c r="A6">
        <v>4</v>
      </c>
      <c r="B6" t="s">
        <v>9</v>
      </c>
    </row>
    <row r="7" spans="1:2" x14ac:dyDescent="0.35">
      <c r="A7">
        <v>5</v>
      </c>
      <c r="B7" t="s">
        <v>10</v>
      </c>
    </row>
    <row r="8" spans="1:2" x14ac:dyDescent="0.35">
      <c r="A8">
        <v>6</v>
      </c>
      <c r="B8" t="s">
        <v>11</v>
      </c>
    </row>
    <row r="9" spans="1:2" x14ac:dyDescent="0.35">
      <c r="A9">
        <v>7</v>
      </c>
      <c r="B9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C45F8C38E2F7449B81D360E8EC28DF" ma:contentTypeVersion="14" ma:contentTypeDescription="Create a new document." ma:contentTypeScope="" ma:versionID="27debc36873ec148a9f4fc7174f4a13e">
  <xsd:schema xmlns:xsd="http://www.w3.org/2001/XMLSchema" xmlns:xs="http://www.w3.org/2001/XMLSchema" xmlns:p="http://schemas.microsoft.com/office/2006/metadata/properties" xmlns:ns3="580d1518-9a38-4efc-9256-c61c5ecdae13" xmlns:ns4="62775453-3938-4fc9-879a-0b66d953608e" targetNamespace="http://schemas.microsoft.com/office/2006/metadata/properties" ma:root="true" ma:fieldsID="c29a525084485e219bf7f171ab5ec2e6" ns3:_="" ns4:_="">
    <xsd:import namespace="580d1518-9a38-4efc-9256-c61c5ecdae13"/>
    <xsd:import namespace="62775453-3938-4fc9-879a-0b66d953608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DateTake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0d1518-9a38-4efc-9256-c61c5ecdae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775453-3938-4fc9-879a-0b66d95360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2775453-3938-4fc9-879a-0b66d953608e" xsi:nil="true"/>
  </documentManagement>
</p:properties>
</file>

<file path=customXml/itemProps1.xml><?xml version="1.0" encoding="utf-8"?>
<ds:datastoreItem xmlns:ds="http://schemas.openxmlformats.org/officeDocument/2006/customXml" ds:itemID="{31936BCF-8CB0-43E4-87C1-0189D970B4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0d1518-9a38-4efc-9256-c61c5ecdae13"/>
    <ds:schemaRef ds:uri="62775453-3938-4fc9-879a-0b66d95360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341B6E-9154-405A-A15A-38342DCF74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B66989-281D-469C-9ED2-1E9E6777A097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62775453-3938-4fc9-879a-0b66d953608e"/>
    <ds:schemaRef ds:uri="580d1518-9a38-4efc-9256-c61c5ecdae1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Solved</vt:lpstr>
      <vt:lpstr>Constraints</vt:lpstr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Addison Morin</cp:lastModifiedBy>
  <dcterms:created xsi:type="dcterms:W3CDTF">2025-03-26T22:23:16Z</dcterms:created>
  <dcterms:modified xsi:type="dcterms:W3CDTF">2025-03-27T00:03:03Z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0x010100C0C45F8C38E2F7449B81D360E8EC28DF</vt:lpwstr>
  </property>
</Properties>
</file>