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6\"/>
    </mc:Choice>
  </mc:AlternateContent>
  <xr:revisionPtr revIDLastSave="0" documentId="8_{91D55995-0D10-468E-88BE-30AB82F6BD08}" xr6:coauthVersionLast="47" xr6:coauthVersionMax="47" xr10:uidLastSave="{00000000-0000-0000-0000-000000000000}"/>
  <bookViews>
    <workbookView xWindow="-110" yWindow="-110" windowWidth="19420" windowHeight="10300" firstSheet="1" activeTab="1" xr2:uid="{4B84A758-75AA-46F6-AF05-E98F5F1C04D1}"/>
  </bookViews>
  <sheets>
    <sheet name="COPY" sheetId="4" r:id="rId1"/>
    <sheet name="Locations &amp; Transportation" sheetId="1" r:id="rId2"/>
    <sheet name="Solved" sheetId="3" r:id="rId3"/>
  </sheets>
  <definedNames>
    <definedName name="solver_adj" localSheetId="0" hidden="1">COPY!$B$6:$B$16</definedName>
    <definedName name="solver_adj" localSheetId="2" hidden="1">Solved!$B$6:$B$16</definedName>
    <definedName name="solver_cvg" localSheetId="0" hidden="1">0.0001</definedName>
    <definedName name="solver_cvg" localSheetId="2" hidden="1">0.0001</definedName>
    <definedName name="solver_drv" localSheetId="0" hidden="1">2</definedName>
    <definedName name="solver_drv" localSheetId="2" hidden="1">2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COPY!$B$6:$B$16</definedName>
    <definedName name="solver_lhs1" localSheetId="2" hidden="1">Solved!$B$6:$B$16</definedName>
    <definedName name="solver_lhs2" localSheetId="0" hidden="1">COPY!$M$6:$M$14</definedName>
    <definedName name="solver_lhs2" localSheetId="2" hidden="1">Solved!$M$6:$M$14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2</definedName>
    <definedName name="solver_num" localSheetId="2" hidden="1">2</definedName>
    <definedName name="solver_nwt" localSheetId="0" hidden="1">1</definedName>
    <definedName name="solver_nwt" localSheetId="2" hidden="1">1</definedName>
    <definedName name="solver_opt" localSheetId="0" hidden="1">COPY!$G$2</definedName>
    <definedName name="solver_opt" localSheetId="2" hidden="1">Solved!$G$2</definedName>
    <definedName name="solver_pre" localSheetId="0" hidden="1">0.000001</definedName>
    <definedName name="solver_pre" localSheetId="2" hidden="1">0.000001</definedName>
    <definedName name="solver_rbv" localSheetId="0" hidden="1">2</definedName>
    <definedName name="solver_rbv" localSheetId="2" hidden="1">2</definedName>
    <definedName name="solver_rel1" localSheetId="0" hidden="1">3</definedName>
    <definedName name="solver_rel1" localSheetId="2" hidden="1">3</definedName>
    <definedName name="solver_rel2" localSheetId="0" hidden="1">3</definedName>
    <definedName name="solver_rel2" localSheetId="2" hidden="1">1</definedName>
    <definedName name="solver_rhs1" localSheetId="0" hidden="1">0</definedName>
    <definedName name="solver_rhs1" localSheetId="2" hidden="1">0</definedName>
    <definedName name="solver_rhs2" localSheetId="0" hidden="1">COPY!$N$6:$N$14</definedName>
    <definedName name="solver_rhs2" localSheetId="2" hidden="1">Solved!$N$6:$N$14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0"/>
</workbook>
</file>

<file path=xl/calcChain.xml><?xml version="1.0" encoding="utf-8"?>
<calcChain xmlns="http://schemas.openxmlformats.org/spreadsheetml/2006/main">
  <c r="F6" i="4" l="1"/>
  <c r="D6" i="4"/>
  <c r="F7" i="4"/>
  <c r="D7" i="4"/>
  <c r="L10" i="4"/>
  <c r="K9" i="4"/>
  <c r="G2" i="4"/>
  <c r="F20" i="4"/>
  <c r="D20" i="4"/>
  <c r="F19" i="4"/>
  <c r="D19" i="4"/>
  <c r="F18" i="4"/>
  <c r="D18" i="4"/>
  <c r="F17" i="4"/>
  <c r="D17" i="4"/>
  <c r="F16" i="4"/>
  <c r="D16" i="4"/>
  <c r="F15" i="4"/>
  <c r="D15" i="4"/>
  <c r="L14" i="4"/>
  <c r="K14" i="4"/>
  <c r="F14" i="4"/>
  <c r="D14" i="4"/>
  <c r="L13" i="4"/>
  <c r="K13" i="4"/>
  <c r="F13" i="4"/>
  <c r="D13" i="4"/>
  <c r="L12" i="4"/>
  <c r="K12" i="4"/>
  <c r="F12" i="4"/>
  <c r="D12" i="4"/>
  <c r="L11" i="4"/>
  <c r="K11" i="4"/>
  <c r="F11" i="4"/>
  <c r="D11" i="4"/>
  <c r="K10" i="4"/>
  <c r="F10" i="4"/>
  <c r="D10" i="4"/>
  <c r="L9" i="4"/>
  <c r="F9" i="4"/>
  <c r="D9" i="4"/>
  <c r="L8" i="4"/>
  <c r="K8" i="4"/>
  <c r="F8" i="4"/>
  <c r="D8" i="4"/>
  <c r="L7" i="4"/>
  <c r="K7" i="4"/>
  <c r="L6" i="4"/>
  <c r="K6" i="4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G2" i="3"/>
  <c r="L7" i="3"/>
  <c r="L8" i="3"/>
  <c r="L9" i="3"/>
  <c r="L10" i="3"/>
  <c r="L11" i="3"/>
  <c r="L12" i="3"/>
  <c r="L13" i="3"/>
  <c r="L14" i="3"/>
  <c r="K7" i="3"/>
  <c r="K8" i="3"/>
  <c r="K9" i="3"/>
  <c r="K10" i="3"/>
  <c r="K11" i="3"/>
  <c r="K12" i="3"/>
  <c r="K13" i="3"/>
  <c r="K14" i="3"/>
  <c r="K6" i="3"/>
  <c r="L6" i="3"/>
  <c r="F6" i="3"/>
  <c r="D6" i="3"/>
  <c r="M8" i="4" l="1"/>
  <c r="M6" i="4"/>
  <c r="M12" i="4"/>
  <c r="M14" i="4"/>
  <c r="M10" i="4"/>
  <c r="M11" i="4"/>
  <c r="M7" i="4"/>
  <c r="M9" i="4"/>
  <c r="M13" i="4"/>
  <c r="M13" i="3"/>
  <c r="M14" i="3"/>
  <c r="M8" i="3"/>
  <c r="M11" i="3"/>
  <c r="M9" i="3"/>
  <c r="M7" i="3"/>
  <c r="M12" i="3"/>
  <c r="M10" i="3"/>
  <c r="M6" i="3"/>
</calcChain>
</file>

<file path=xl/sharedStrings.xml><?xml version="1.0" encoding="utf-8"?>
<sst xmlns="http://schemas.openxmlformats.org/spreadsheetml/2006/main" count="63" uniqueCount="28">
  <si>
    <t>location_id</t>
  </si>
  <si>
    <t>location_name</t>
  </si>
  <si>
    <t>gumdrop_requirement</t>
  </si>
  <si>
    <t>loc_type</t>
  </si>
  <si>
    <t>Butter Pecan Bluff</t>
  </si>
  <si>
    <t>warehouse</t>
  </si>
  <si>
    <t>Fruity Gusher Geyser</t>
  </si>
  <si>
    <t>Ginger Snap Garden</t>
  </si>
  <si>
    <t>Jelly River Delta</t>
  </si>
  <si>
    <t>retail</t>
  </si>
  <si>
    <t>Pineapple Pop Paradise</t>
  </si>
  <si>
    <t>Praline Park</t>
  </si>
  <si>
    <t>Soda Pop Springs</t>
  </si>
  <si>
    <t>Starburst Starlit Skies</t>
  </si>
  <si>
    <t>Toblerone Tower</t>
  </si>
  <si>
    <t>from</t>
  </si>
  <si>
    <t>to</t>
  </si>
  <si>
    <t>cost_per_mile</t>
  </si>
  <si>
    <t>Ship</t>
  </si>
  <si>
    <t>From</t>
  </si>
  <si>
    <t>To</t>
  </si>
  <si>
    <t>Unit Cost</t>
  </si>
  <si>
    <t>Nodes</t>
  </si>
  <si>
    <t>Inflow</t>
  </si>
  <si>
    <t>Outflow</t>
  </si>
  <si>
    <t>Net Flow</t>
  </si>
  <si>
    <t>Supply/Demand</t>
  </si>
  <si>
    <t>Transportation Cost-&gt;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</si>
</sst>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2F2D-4C69-492E-86CC-C4BBFC1D75AB}">
  <dimension ref="B2:O20"/>
  <sheetViews>
    <sheetView topLeftCell="F2" zoomScale="69" zoomScaleNormal="25" workbookViewId="0">
      <selection activeCell="G2" sqref="G2"/>
    </sheetView>
  </sheetViews>
  <sheetFormatPr defaultRowHeight="14.5" x14ac:dyDescent="0.35"/>
  <cols>
    <col min="4" max="4" width="18.26953125" bestFit="1" customWidth="1"/>
    <col min="6" max="6" width="20.6328125" bestFit="1" customWidth="1"/>
    <col min="7" max="7" width="11.54296875" bestFit="1" customWidth="1"/>
    <col min="10" max="10" width="20.6328125" bestFit="1" customWidth="1"/>
    <col min="14" max="14" width="13.90625" bestFit="1" customWidth="1"/>
  </cols>
  <sheetData>
    <row r="2" spans="2:15" x14ac:dyDescent="0.35">
      <c r="F2" t="s">
        <v>27</v>
      </c>
      <c r="G2" s="1">
        <f>SUMPRODUCT(B6:B20,G6:G20)</f>
        <v>47044</v>
      </c>
    </row>
    <row r="5" spans="2:15" x14ac:dyDescent="0.35">
      <c r="B5" t="s">
        <v>18</v>
      </c>
      <c r="C5" t="s">
        <v>19</v>
      </c>
      <c r="E5" t="s">
        <v>20</v>
      </c>
      <c r="G5" t="s">
        <v>21</v>
      </c>
      <c r="I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2:15" x14ac:dyDescent="0.35">
      <c r="B6">
        <v>326</v>
      </c>
      <c r="C6">
        <v>0</v>
      </c>
      <c r="D6" t="str">
        <f>VLOOKUP(C6,$I$6:$J$14,2,0)</f>
        <v>Butter Pecan Bluff</v>
      </c>
      <c r="E6">
        <v>7</v>
      </c>
      <c r="F6" t="str">
        <f>_xlfn.XLOOKUP(E6, $I$6:$I$14, $J$6:$J$14)</f>
        <v>Starburst Starlit Skies</v>
      </c>
      <c r="G6">
        <v>34</v>
      </c>
      <c r="I6">
        <v>0</v>
      </c>
      <c r="J6" t="s">
        <v>4</v>
      </c>
      <c r="K6">
        <f>SUMIF($E$6:$E$16,I6,$B$6:$B$16)</f>
        <v>0</v>
      </c>
      <c r="L6">
        <f>SUMIF($C$6:$C$16, I6, $B$6:$B$16)</f>
        <v>326</v>
      </c>
      <c r="M6">
        <f>K6-L6</f>
        <v>-326</v>
      </c>
      <c r="N6">
        <v>-415</v>
      </c>
      <c r="O6">
        <v>300</v>
      </c>
    </row>
    <row r="7" spans="2:15" x14ac:dyDescent="0.35">
      <c r="B7">
        <v>123</v>
      </c>
      <c r="C7">
        <v>1</v>
      </c>
      <c r="D7" t="str">
        <f>VLOOKUP(C7,$I$6:$J$14,2,0)</f>
        <v>Fruity Gusher Geyser</v>
      </c>
      <c r="E7">
        <v>3</v>
      </c>
      <c r="F7" t="str">
        <f>_xlfn.XLOOKUP(E7, $I$6:$I$14, $J$6:$J$14)</f>
        <v>Jelly River Delta</v>
      </c>
      <c r="G7">
        <v>26</v>
      </c>
      <c r="I7">
        <v>1</v>
      </c>
      <c r="J7" t="s">
        <v>6</v>
      </c>
      <c r="K7">
        <f t="shared" ref="K7:K14" si="0">SUMIF($E$6:$E$16,I7,$B$6:$B$16)</f>
        <v>0</v>
      </c>
      <c r="L7">
        <f t="shared" ref="L7:L14" si="1">SUMIF($C$6:$C$16, I7, $B$6:$B$16)</f>
        <v>342</v>
      </c>
      <c r="M7">
        <f t="shared" ref="M7:M14" si="2">K7-L7</f>
        <v>-342</v>
      </c>
      <c r="N7">
        <v>-342</v>
      </c>
      <c r="O7">
        <v>342</v>
      </c>
    </row>
    <row r="8" spans="2:15" x14ac:dyDescent="0.35">
      <c r="B8">
        <v>215</v>
      </c>
      <c r="C8">
        <v>1</v>
      </c>
      <c r="D8" t="str">
        <f t="shared" ref="D7:D20" si="3">VLOOKUP(C8,$I$6:$J$14,2,0)</f>
        <v>Fruity Gusher Geyser</v>
      </c>
      <c r="E8">
        <v>6</v>
      </c>
      <c r="F8" t="str">
        <f t="shared" ref="F7:F20" si="4">_xlfn.XLOOKUP(E8, $I$6:$I$14, $J$6:$J$14)</f>
        <v>Soda Pop Springs</v>
      </c>
      <c r="G8">
        <v>44</v>
      </c>
      <c r="I8">
        <v>2</v>
      </c>
      <c r="J8" t="s">
        <v>7</v>
      </c>
      <c r="K8">
        <f t="shared" si="0"/>
        <v>0</v>
      </c>
      <c r="L8">
        <f t="shared" si="1"/>
        <v>256</v>
      </c>
      <c r="M8">
        <f t="shared" si="2"/>
        <v>-256</v>
      </c>
      <c r="N8">
        <v>-256</v>
      </c>
      <c r="O8">
        <v>256</v>
      </c>
    </row>
    <row r="9" spans="2:15" x14ac:dyDescent="0.35">
      <c r="B9">
        <v>0</v>
      </c>
      <c r="C9">
        <v>3</v>
      </c>
      <c r="D9" t="str">
        <f t="shared" si="3"/>
        <v>Jelly River Delta</v>
      </c>
      <c r="E9">
        <v>7</v>
      </c>
      <c r="F9" t="str">
        <f t="shared" si="4"/>
        <v>Starburst Starlit Skies</v>
      </c>
      <c r="G9">
        <v>37</v>
      </c>
      <c r="I9">
        <v>3</v>
      </c>
      <c r="J9" t="s">
        <v>8</v>
      </c>
      <c r="K9">
        <f t="shared" si="0"/>
        <v>123</v>
      </c>
      <c r="L9">
        <f t="shared" si="1"/>
        <v>0</v>
      </c>
      <c r="M9">
        <f t="shared" si="2"/>
        <v>123</v>
      </c>
      <c r="N9">
        <v>123</v>
      </c>
    </row>
    <row r="10" spans="2:15" x14ac:dyDescent="0.35">
      <c r="B10">
        <v>4</v>
      </c>
      <c r="C10">
        <v>1</v>
      </c>
      <c r="D10" t="str">
        <f t="shared" si="3"/>
        <v>Fruity Gusher Geyser</v>
      </c>
      <c r="E10">
        <v>4</v>
      </c>
      <c r="F10" t="str">
        <f t="shared" si="4"/>
        <v>Pineapple Pop Paradise</v>
      </c>
      <c r="G10">
        <v>35</v>
      </c>
      <c r="I10">
        <v>4</v>
      </c>
      <c r="J10" t="s">
        <v>10</v>
      </c>
      <c r="K10">
        <f t="shared" si="0"/>
        <v>386</v>
      </c>
      <c r="L10">
        <f>SUMIF($C$6:$C$20, I10, $B$6:$B$20)</f>
        <v>202</v>
      </c>
      <c r="M10">
        <f t="shared" si="2"/>
        <v>184</v>
      </c>
      <c r="N10">
        <v>184</v>
      </c>
    </row>
    <row r="11" spans="2:15" x14ac:dyDescent="0.35">
      <c r="B11">
        <v>256</v>
      </c>
      <c r="C11">
        <v>2</v>
      </c>
      <c r="D11" t="str">
        <f t="shared" si="3"/>
        <v>Ginger Snap Garden</v>
      </c>
      <c r="E11">
        <v>4</v>
      </c>
      <c r="F11" t="str">
        <f t="shared" si="4"/>
        <v>Pineapple Pop Paradise</v>
      </c>
      <c r="G11">
        <v>34</v>
      </c>
      <c r="I11">
        <v>5</v>
      </c>
      <c r="J11" t="s">
        <v>11</v>
      </c>
      <c r="K11">
        <f t="shared" si="0"/>
        <v>0</v>
      </c>
      <c r="L11">
        <f t="shared" si="1"/>
        <v>0</v>
      </c>
      <c r="M11">
        <f t="shared" si="2"/>
        <v>0</v>
      </c>
      <c r="N11">
        <v>76</v>
      </c>
    </row>
    <row r="12" spans="2:15" x14ac:dyDescent="0.35">
      <c r="B12">
        <v>0</v>
      </c>
      <c r="C12">
        <v>2</v>
      </c>
      <c r="D12" t="str">
        <f t="shared" si="3"/>
        <v>Ginger Snap Garden</v>
      </c>
      <c r="E12">
        <v>6</v>
      </c>
      <c r="F12" t="str">
        <f t="shared" si="4"/>
        <v>Soda Pop Springs</v>
      </c>
      <c r="G12">
        <v>47</v>
      </c>
      <c r="I12">
        <v>6</v>
      </c>
      <c r="J12" t="s">
        <v>12</v>
      </c>
      <c r="K12">
        <f t="shared" si="0"/>
        <v>215</v>
      </c>
      <c r="L12">
        <f t="shared" si="1"/>
        <v>0</v>
      </c>
      <c r="M12">
        <f t="shared" si="2"/>
        <v>215</v>
      </c>
      <c r="N12">
        <v>215</v>
      </c>
    </row>
    <row r="13" spans="2:15" x14ac:dyDescent="0.35">
      <c r="B13">
        <v>202</v>
      </c>
      <c r="C13">
        <v>4</v>
      </c>
      <c r="D13" t="str">
        <f t="shared" si="3"/>
        <v>Pineapple Pop Paradise</v>
      </c>
      <c r="E13">
        <v>8</v>
      </c>
      <c r="F13" t="str">
        <f t="shared" si="4"/>
        <v>Toblerone Tower</v>
      </c>
      <c r="G13">
        <v>46</v>
      </c>
      <c r="I13">
        <v>7</v>
      </c>
      <c r="J13" t="s">
        <v>13</v>
      </c>
      <c r="K13">
        <f t="shared" si="0"/>
        <v>326</v>
      </c>
      <c r="L13">
        <f t="shared" si="1"/>
        <v>126</v>
      </c>
      <c r="M13">
        <f t="shared" si="2"/>
        <v>200</v>
      </c>
      <c r="N13">
        <v>200</v>
      </c>
    </row>
    <row r="14" spans="2:15" x14ac:dyDescent="0.35">
      <c r="B14">
        <v>0</v>
      </c>
      <c r="C14">
        <v>4</v>
      </c>
      <c r="D14" t="str">
        <f t="shared" si="3"/>
        <v>Pineapple Pop Paradise</v>
      </c>
      <c r="E14">
        <v>7</v>
      </c>
      <c r="F14" t="str">
        <f t="shared" si="4"/>
        <v>Starburst Starlit Skies</v>
      </c>
      <c r="G14">
        <v>29</v>
      </c>
      <c r="I14">
        <v>8</v>
      </c>
      <c r="J14" t="s">
        <v>14</v>
      </c>
      <c r="K14">
        <f t="shared" si="0"/>
        <v>202</v>
      </c>
      <c r="L14">
        <f t="shared" si="1"/>
        <v>0</v>
      </c>
      <c r="M14">
        <f t="shared" si="2"/>
        <v>202</v>
      </c>
      <c r="N14">
        <v>202</v>
      </c>
    </row>
    <row r="15" spans="2:15" x14ac:dyDescent="0.35">
      <c r="B15">
        <v>0</v>
      </c>
      <c r="C15">
        <v>6</v>
      </c>
      <c r="D15" t="str">
        <f t="shared" si="3"/>
        <v>Soda Pop Springs</v>
      </c>
      <c r="E15">
        <v>3</v>
      </c>
      <c r="F15" t="str">
        <f t="shared" si="4"/>
        <v>Jelly River Delta</v>
      </c>
      <c r="G15">
        <v>35</v>
      </c>
    </row>
    <row r="16" spans="2:15" x14ac:dyDescent="0.35">
      <c r="B16">
        <v>126</v>
      </c>
      <c r="C16">
        <v>7</v>
      </c>
      <c r="D16" t="str">
        <f t="shared" si="3"/>
        <v>Starburst Starlit Skies</v>
      </c>
      <c r="E16">
        <v>4</v>
      </c>
      <c r="F16" t="str">
        <f t="shared" si="4"/>
        <v>Pineapple Pop Paradise</v>
      </c>
      <c r="G16">
        <v>41</v>
      </c>
    </row>
    <row r="17" spans="2:7" x14ac:dyDescent="0.35">
      <c r="B17">
        <v>0</v>
      </c>
      <c r="C17">
        <v>7</v>
      </c>
      <c r="D17" t="str">
        <f t="shared" si="3"/>
        <v>Starburst Starlit Skies</v>
      </c>
      <c r="E17">
        <v>8</v>
      </c>
      <c r="F17" t="str">
        <f t="shared" si="4"/>
        <v>Toblerone Tower</v>
      </c>
      <c r="G17">
        <v>40</v>
      </c>
    </row>
    <row r="18" spans="2:7" x14ac:dyDescent="0.35">
      <c r="B18">
        <v>0</v>
      </c>
      <c r="C18">
        <v>7</v>
      </c>
      <c r="D18" t="str">
        <f t="shared" si="3"/>
        <v>Starburst Starlit Skies</v>
      </c>
      <c r="E18">
        <v>3</v>
      </c>
      <c r="F18" t="str">
        <f t="shared" si="4"/>
        <v>Jelly River Delta</v>
      </c>
      <c r="G18">
        <v>39</v>
      </c>
    </row>
    <row r="19" spans="2:7" x14ac:dyDescent="0.35">
      <c r="B19">
        <v>0</v>
      </c>
      <c r="C19">
        <v>8</v>
      </c>
      <c r="D19" t="str">
        <f t="shared" si="3"/>
        <v>Toblerone Tower</v>
      </c>
      <c r="E19">
        <v>5</v>
      </c>
      <c r="F19" t="str">
        <f t="shared" si="4"/>
        <v>Praline Park</v>
      </c>
      <c r="G19">
        <v>39</v>
      </c>
    </row>
    <row r="20" spans="2:7" x14ac:dyDescent="0.35">
      <c r="B20">
        <v>0</v>
      </c>
      <c r="C20">
        <v>8</v>
      </c>
      <c r="D20" t="str">
        <f t="shared" si="3"/>
        <v>Toblerone Tower</v>
      </c>
      <c r="E20">
        <v>7</v>
      </c>
      <c r="F20" t="str">
        <f t="shared" si="4"/>
        <v>Starburst Starlit Skies</v>
      </c>
      <c r="G20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DF5F-A9CC-4327-9784-A5DA780E5364}">
  <dimension ref="A1:G16"/>
  <sheetViews>
    <sheetView tabSelected="1" zoomScale="81" workbookViewId="0">
      <selection activeCell="F20" sqref="F20"/>
    </sheetView>
  </sheetViews>
  <sheetFormatPr defaultRowHeight="14.5" x14ac:dyDescent="0.35"/>
  <cols>
    <col min="1" max="1" width="9.6328125" bestFit="1" customWidth="1"/>
    <col min="2" max="2" width="19.90625" bestFit="1" customWidth="1"/>
    <col min="3" max="3" width="18.81640625" bestFit="1" customWidth="1"/>
    <col min="4" max="4" width="9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</row>
    <row r="2" spans="1:7" x14ac:dyDescent="0.35">
      <c r="A2">
        <v>0</v>
      </c>
      <c r="B2" t="s">
        <v>4</v>
      </c>
      <c r="C2">
        <v>300</v>
      </c>
      <c r="D2" t="s">
        <v>5</v>
      </c>
      <c r="E2">
        <v>0</v>
      </c>
      <c r="F2">
        <v>7</v>
      </c>
      <c r="G2">
        <v>34</v>
      </c>
    </row>
    <row r="3" spans="1:7" x14ac:dyDescent="0.35">
      <c r="A3">
        <v>1</v>
      </c>
      <c r="B3" t="s">
        <v>6</v>
      </c>
      <c r="C3">
        <v>342</v>
      </c>
      <c r="D3" t="s">
        <v>5</v>
      </c>
      <c r="E3">
        <v>1</v>
      </c>
      <c r="F3">
        <v>3</v>
      </c>
      <c r="G3">
        <v>26</v>
      </c>
    </row>
    <row r="4" spans="1:7" x14ac:dyDescent="0.35">
      <c r="A4">
        <v>2</v>
      </c>
      <c r="B4" t="s">
        <v>7</v>
      </c>
      <c r="C4">
        <v>256</v>
      </c>
      <c r="D4" t="s">
        <v>5</v>
      </c>
      <c r="E4">
        <v>1</v>
      </c>
      <c r="F4">
        <v>6</v>
      </c>
      <c r="G4">
        <v>44</v>
      </c>
    </row>
    <row r="5" spans="1:7" x14ac:dyDescent="0.35">
      <c r="A5">
        <v>3</v>
      </c>
      <c r="B5" t="s">
        <v>8</v>
      </c>
      <c r="C5">
        <v>123</v>
      </c>
      <c r="D5" t="s">
        <v>9</v>
      </c>
      <c r="E5">
        <v>1</v>
      </c>
      <c r="F5">
        <v>7</v>
      </c>
      <c r="G5">
        <v>37</v>
      </c>
    </row>
    <row r="6" spans="1:7" x14ac:dyDescent="0.35">
      <c r="A6">
        <v>4</v>
      </c>
      <c r="B6" t="s">
        <v>10</v>
      </c>
      <c r="C6">
        <v>184</v>
      </c>
      <c r="D6" t="s">
        <v>9</v>
      </c>
      <c r="E6">
        <v>2</v>
      </c>
      <c r="F6">
        <v>3</v>
      </c>
      <c r="G6">
        <v>35</v>
      </c>
    </row>
    <row r="7" spans="1:7" x14ac:dyDescent="0.35">
      <c r="A7">
        <v>5</v>
      </c>
      <c r="B7" t="s">
        <v>11</v>
      </c>
      <c r="C7">
        <v>76</v>
      </c>
      <c r="D7" t="s">
        <v>9</v>
      </c>
      <c r="E7">
        <v>2</v>
      </c>
      <c r="F7">
        <v>4</v>
      </c>
      <c r="G7">
        <v>34</v>
      </c>
    </row>
    <row r="8" spans="1:7" x14ac:dyDescent="0.35">
      <c r="A8">
        <v>6</v>
      </c>
      <c r="B8" t="s">
        <v>12</v>
      </c>
      <c r="C8">
        <v>215</v>
      </c>
      <c r="D8" t="s">
        <v>9</v>
      </c>
      <c r="E8">
        <v>4</v>
      </c>
      <c r="F8">
        <v>6</v>
      </c>
      <c r="G8">
        <v>47</v>
      </c>
    </row>
    <row r="9" spans="1:7" x14ac:dyDescent="0.35">
      <c r="A9">
        <v>7</v>
      </c>
      <c r="B9" t="s">
        <v>13</v>
      </c>
      <c r="C9">
        <v>200</v>
      </c>
      <c r="D9" t="s">
        <v>9</v>
      </c>
      <c r="E9">
        <v>4</v>
      </c>
      <c r="F9">
        <v>8</v>
      </c>
      <c r="G9">
        <v>46</v>
      </c>
    </row>
    <row r="10" spans="1:7" x14ac:dyDescent="0.35">
      <c r="A10">
        <v>8</v>
      </c>
      <c r="B10" t="s">
        <v>14</v>
      </c>
      <c r="C10">
        <v>202</v>
      </c>
      <c r="D10" t="s">
        <v>9</v>
      </c>
      <c r="E10">
        <v>6</v>
      </c>
      <c r="F10">
        <v>7</v>
      </c>
      <c r="G10">
        <v>29</v>
      </c>
    </row>
    <row r="11" spans="1:7" x14ac:dyDescent="0.35">
      <c r="E11">
        <v>7</v>
      </c>
      <c r="F11">
        <v>3</v>
      </c>
      <c r="G11">
        <v>35</v>
      </c>
    </row>
    <row r="12" spans="1:7" x14ac:dyDescent="0.35">
      <c r="E12">
        <v>7</v>
      </c>
      <c r="F12">
        <v>4</v>
      </c>
      <c r="G12">
        <v>41</v>
      </c>
    </row>
    <row r="13" spans="1:7" x14ac:dyDescent="0.35">
      <c r="E13">
        <v>7</v>
      </c>
      <c r="F13">
        <v>8</v>
      </c>
      <c r="G13">
        <v>40</v>
      </c>
    </row>
    <row r="14" spans="1:7" x14ac:dyDescent="0.35">
      <c r="E14">
        <v>8</v>
      </c>
      <c r="F14">
        <v>3</v>
      </c>
      <c r="G14">
        <v>39</v>
      </c>
    </row>
    <row r="15" spans="1:7" x14ac:dyDescent="0.35">
      <c r="E15">
        <v>8</v>
      </c>
      <c r="F15">
        <v>5</v>
      </c>
      <c r="G15">
        <v>39</v>
      </c>
    </row>
    <row r="16" spans="1:7" x14ac:dyDescent="0.35">
      <c r="E16">
        <v>8</v>
      </c>
      <c r="F16">
        <v>7</v>
      </c>
      <c r="G16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BA3F-6FE3-4FDE-8D19-E7F75475EEEA}">
  <dimension ref="B2:N20"/>
  <sheetViews>
    <sheetView topLeftCell="G1" zoomScale="80" zoomScaleNormal="80" workbookViewId="0">
      <selection activeCell="Q63" sqref="Q63"/>
    </sheetView>
  </sheetViews>
  <sheetFormatPr defaultRowHeight="14.5" x14ac:dyDescent="0.35"/>
  <cols>
    <col min="4" max="4" width="18.26953125" bestFit="1" customWidth="1"/>
    <col min="6" max="6" width="20.6328125" bestFit="1" customWidth="1"/>
    <col min="7" max="7" width="11.54296875" bestFit="1" customWidth="1"/>
    <col min="10" max="10" width="20.6328125" bestFit="1" customWidth="1"/>
    <col min="14" max="14" width="13.90625" bestFit="1" customWidth="1"/>
  </cols>
  <sheetData>
    <row r="2" spans="2:14" x14ac:dyDescent="0.35">
      <c r="F2" t="s">
        <v>27</v>
      </c>
      <c r="G2" s="1">
        <f>SUMPRODUCT(B6:B16,G6:G16)</f>
        <v>43898</v>
      </c>
    </row>
    <row r="5" spans="2:14" x14ac:dyDescent="0.35">
      <c r="B5" t="s">
        <v>18</v>
      </c>
      <c r="C5" t="s">
        <v>19</v>
      </c>
      <c r="E5" t="s">
        <v>20</v>
      </c>
      <c r="G5" t="s">
        <v>21</v>
      </c>
      <c r="I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2:14" x14ac:dyDescent="0.35">
      <c r="B6">
        <v>300</v>
      </c>
      <c r="C6">
        <v>0</v>
      </c>
      <c r="D6" t="str">
        <f>VLOOKUP(C6,$I$6:$J$14,2,0)</f>
        <v>Butter Pecan Bluff</v>
      </c>
      <c r="E6">
        <v>7</v>
      </c>
      <c r="F6" t="str">
        <f>_xlfn.XLOOKUP(E6, $I$6:$I$14, $J$6:$J$14)</f>
        <v>Starburst Starlit Skies</v>
      </c>
      <c r="G6">
        <v>34</v>
      </c>
      <c r="I6">
        <v>0</v>
      </c>
      <c r="J6" t="s">
        <v>4</v>
      </c>
      <c r="K6">
        <f>SUMIF($E$6:$E$16,I6,$B$6:$B$16)</f>
        <v>0</v>
      </c>
      <c r="L6">
        <f>SUMIF($C$6:$C$16, I6, $B$6:$B$16)</f>
        <v>300</v>
      </c>
      <c r="M6">
        <f>K6-L6</f>
        <v>-300</v>
      </c>
      <c r="N6">
        <v>-300</v>
      </c>
    </row>
    <row r="7" spans="2:14" x14ac:dyDescent="0.35">
      <c r="B7">
        <v>123</v>
      </c>
      <c r="C7">
        <v>1</v>
      </c>
      <c r="D7" t="str">
        <f t="shared" ref="D7:D20" si="0">VLOOKUP(C7,$I$6:$J$14,2,0)</f>
        <v>Fruity Gusher Geyser</v>
      </c>
      <c r="E7">
        <v>3</v>
      </c>
      <c r="F7" t="str">
        <f t="shared" ref="F7:F21" si="1">_xlfn.XLOOKUP(E7, $I$6:$I$14, $J$6:$J$14)</f>
        <v>Jelly River Delta</v>
      </c>
      <c r="G7">
        <v>26</v>
      </c>
      <c r="I7">
        <v>1</v>
      </c>
      <c r="J7" t="s">
        <v>6</v>
      </c>
      <c r="K7">
        <f t="shared" ref="K7:K14" si="2">SUMIF($E$6:$E$16,I7,$B$6:$B$16)</f>
        <v>0</v>
      </c>
      <c r="L7">
        <f t="shared" ref="L7:L14" si="3">SUMIF($C$6:$C$16, I7, $B$6:$B$16)</f>
        <v>342</v>
      </c>
      <c r="M7">
        <f t="shared" ref="M7:M14" si="4">K7-L7</f>
        <v>-342</v>
      </c>
      <c r="N7">
        <v>-342</v>
      </c>
    </row>
    <row r="8" spans="2:14" x14ac:dyDescent="0.35">
      <c r="B8">
        <v>215</v>
      </c>
      <c r="C8">
        <v>1</v>
      </c>
      <c r="D8" t="str">
        <f t="shared" si="0"/>
        <v>Fruity Gusher Geyser</v>
      </c>
      <c r="E8">
        <v>6</v>
      </c>
      <c r="F8" t="str">
        <f t="shared" si="1"/>
        <v>Soda Pop Springs</v>
      </c>
      <c r="G8">
        <v>44</v>
      </c>
      <c r="I8">
        <v>2</v>
      </c>
      <c r="J8" t="s">
        <v>7</v>
      </c>
      <c r="K8">
        <f t="shared" si="2"/>
        <v>0</v>
      </c>
      <c r="L8">
        <f t="shared" si="3"/>
        <v>256</v>
      </c>
      <c r="M8">
        <f t="shared" si="4"/>
        <v>-256</v>
      </c>
      <c r="N8">
        <v>-256</v>
      </c>
    </row>
    <row r="9" spans="2:14" x14ac:dyDescent="0.35">
      <c r="B9">
        <v>0</v>
      </c>
      <c r="C9">
        <v>3</v>
      </c>
      <c r="D9" t="str">
        <f t="shared" si="0"/>
        <v>Jelly River Delta</v>
      </c>
      <c r="E9">
        <v>7</v>
      </c>
      <c r="F9" t="str">
        <f t="shared" si="1"/>
        <v>Starburst Starlit Skies</v>
      </c>
      <c r="G9">
        <v>37</v>
      </c>
      <c r="I9">
        <v>3</v>
      </c>
      <c r="J9" t="s">
        <v>8</v>
      </c>
      <c r="K9">
        <f t="shared" si="2"/>
        <v>123</v>
      </c>
      <c r="L9">
        <f t="shared" si="3"/>
        <v>0</v>
      </c>
      <c r="M9">
        <f t="shared" si="4"/>
        <v>123</v>
      </c>
      <c r="N9">
        <v>123</v>
      </c>
    </row>
    <row r="10" spans="2:14" x14ac:dyDescent="0.35">
      <c r="B10">
        <v>4</v>
      </c>
      <c r="C10">
        <v>1</v>
      </c>
      <c r="D10" t="str">
        <f t="shared" si="0"/>
        <v>Fruity Gusher Geyser</v>
      </c>
      <c r="E10">
        <v>4</v>
      </c>
      <c r="F10" t="str">
        <f t="shared" si="1"/>
        <v>Pineapple Pop Paradise</v>
      </c>
      <c r="G10">
        <v>35</v>
      </c>
      <c r="I10">
        <v>4</v>
      </c>
      <c r="J10" t="s">
        <v>10</v>
      </c>
      <c r="K10">
        <f t="shared" si="2"/>
        <v>360</v>
      </c>
      <c r="L10">
        <f t="shared" si="3"/>
        <v>176</v>
      </c>
      <c r="M10">
        <f t="shared" si="4"/>
        <v>184</v>
      </c>
      <c r="N10">
        <v>184</v>
      </c>
    </row>
    <row r="11" spans="2:14" x14ac:dyDescent="0.35">
      <c r="B11">
        <v>256</v>
      </c>
      <c r="C11">
        <v>2</v>
      </c>
      <c r="D11" t="str">
        <f t="shared" si="0"/>
        <v>Ginger Snap Garden</v>
      </c>
      <c r="E11">
        <v>4</v>
      </c>
      <c r="F11" t="str">
        <f t="shared" si="1"/>
        <v>Pineapple Pop Paradise</v>
      </c>
      <c r="G11">
        <v>34</v>
      </c>
      <c r="I11">
        <v>5</v>
      </c>
      <c r="J11" t="s">
        <v>11</v>
      </c>
      <c r="K11">
        <f t="shared" si="2"/>
        <v>0</v>
      </c>
      <c r="L11">
        <f t="shared" si="3"/>
        <v>0</v>
      </c>
      <c r="M11">
        <f t="shared" si="4"/>
        <v>0</v>
      </c>
      <c r="N11">
        <v>76</v>
      </c>
    </row>
    <row r="12" spans="2:14" x14ac:dyDescent="0.35">
      <c r="B12">
        <v>0</v>
      </c>
      <c r="C12">
        <v>2</v>
      </c>
      <c r="D12" t="str">
        <f t="shared" si="0"/>
        <v>Ginger Snap Garden</v>
      </c>
      <c r="E12">
        <v>6</v>
      </c>
      <c r="F12" t="str">
        <f t="shared" si="1"/>
        <v>Soda Pop Springs</v>
      </c>
      <c r="G12">
        <v>47</v>
      </c>
      <c r="I12">
        <v>6</v>
      </c>
      <c r="J12" t="s">
        <v>12</v>
      </c>
      <c r="K12">
        <f t="shared" si="2"/>
        <v>215</v>
      </c>
      <c r="L12">
        <f t="shared" si="3"/>
        <v>0</v>
      </c>
      <c r="M12">
        <f t="shared" si="4"/>
        <v>215</v>
      </c>
      <c r="N12">
        <v>215</v>
      </c>
    </row>
    <row r="13" spans="2:14" x14ac:dyDescent="0.35">
      <c r="B13">
        <v>176</v>
      </c>
      <c r="C13">
        <v>4</v>
      </c>
      <c r="D13" t="str">
        <f t="shared" si="0"/>
        <v>Pineapple Pop Paradise</v>
      </c>
      <c r="E13">
        <v>8</v>
      </c>
      <c r="F13" t="str">
        <f t="shared" si="1"/>
        <v>Toblerone Tower</v>
      </c>
      <c r="G13">
        <v>46</v>
      </c>
      <c r="I13">
        <v>7</v>
      </c>
      <c r="J13" t="s">
        <v>13</v>
      </c>
      <c r="K13">
        <f t="shared" si="2"/>
        <v>300</v>
      </c>
      <c r="L13">
        <f t="shared" si="3"/>
        <v>100</v>
      </c>
      <c r="M13">
        <f t="shared" si="4"/>
        <v>200</v>
      </c>
      <c r="N13">
        <v>200</v>
      </c>
    </row>
    <row r="14" spans="2:14" x14ac:dyDescent="0.35">
      <c r="B14">
        <v>0</v>
      </c>
      <c r="C14">
        <v>4</v>
      </c>
      <c r="D14" t="str">
        <f t="shared" si="0"/>
        <v>Pineapple Pop Paradise</v>
      </c>
      <c r="E14">
        <v>7</v>
      </c>
      <c r="F14" t="str">
        <f t="shared" si="1"/>
        <v>Starburst Starlit Skies</v>
      </c>
      <c r="G14">
        <v>29</v>
      </c>
      <c r="I14">
        <v>8</v>
      </c>
      <c r="J14" t="s">
        <v>14</v>
      </c>
      <c r="K14">
        <f t="shared" si="2"/>
        <v>176</v>
      </c>
      <c r="L14">
        <f t="shared" si="3"/>
        <v>0</v>
      </c>
      <c r="M14">
        <f t="shared" si="4"/>
        <v>176</v>
      </c>
      <c r="N14">
        <v>202</v>
      </c>
    </row>
    <row r="15" spans="2:14" x14ac:dyDescent="0.35">
      <c r="B15">
        <v>0</v>
      </c>
      <c r="C15">
        <v>6</v>
      </c>
      <c r="D15" t="str">
        <f t="shared" si="0"/>
        <v>Soda Pop Springs</v>
      </c>
      <c r="E15">
        <v>3</v>
      </c>
      <c r="F15" t="str">
        <f t="shared" si="1"/>
        <v>Jelly River Delta</v>
      </c>
      <c r="G15">
        <v>35</v>
      </c>
    </row>
    <row r="16" spans="2:14" x14ac:dyDescent="0.35">
      <c r="B16">
        <v>100</v>
      </c>
      <c r="C16">
        <v>7</v>
      </c>
      <c r="D16" t="str">
        <f t="shared" si="0"/>
        <v>Starburst Starlit Skies</v>
      </c>
      <c r="E16">
        <v>4</v>
      </c>
      <c r="F16" t="str">
        <f t="shared" si="1"/>
        <v>Pineapple Pop Paradise</v>
      </c>
      <c r="G16">
        <v>41</v>
      </c>
    </row>
    <row r="17" spans="2:7" x14ac:dyDescent="0.35">
      <c r="B17">
        <v>0</v>
      </c>
      <c r="C17">
        <v>7</v>
      </c>
      <c r="D17" t="str">
        <f t="shared" si="0"/>
        <v>Starburst Starlit Skies</v>
      </c>
      <c r="E17">
        <v>8</v>
      </c>
      <c r="F17" t="str">
        <f t="shared" si="1"/>
        <v>Toblerone Tower</v>
      </c>
      <c r="G17">
        <v>40</v>
      </c>
    </row>
    <row r="18" spans="2:7" x14ac:dyDescent="0.35">
      <c r="B18">
        <v>0</v>
      </c>
      <c r="C18">
        <v>7</v>
      </c>
      <c r="D18" t="str">
        <f t="shared" si="0"/>
        <v>Starburst Starlit Skies</v>
      </c>
      <c r="E18">
        <v>3</v>
      </c>
      <c r="F18" t="str">
        <f t="shared" si="1"/>
        <v>Jelly River Delta</v>
      </c>
      <c r="G18">
        <v>39</v>
      </c>
    </row>
    <row r="19" spans="2:7" x14ac:dyDescent="0.35">
      <c r="B19">
        <v>0</v>
      </c>
      <c r="C19">
        <v>8</v>
      </c>
      <c r="D19" t="str">
        <f t="shared" si="0"/>
        <v>Toblerone Tower</v>
      </c>
      <c r="E19">
        <v>5</v>
      </c>
      <c r="F19" t="str">
        <f t="shared" si="1"/>
        <v>Praline Park</v>
      </c>
      <c r="G19">
        <v>39</v>
      </c>
    </row>
    <row r="20" spans="2:7" x14ac:dyDescent="0.35">
      <c r="B20">
        <v>0</v>
      </c>
      <c r="C20">
        <v>8</v>
      </c>
      <c r="D20" t="str">
        <f t="shared" si="0"/>
        <v>Toblerone Tower</v>
      </c>
      <c r="E20">
        <v>7</v>
      </c>
      <c r="F20" t="str">
        <f t="shared" si="1"/>
        <v>Starburst Starlit Skies</v>
      </c>
      <c r="G20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EC8F23C9-EEE2-4A56-B8BC-8D2EE5A47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C5460F-5A21-43BB-AFC1-E1D9BB8527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86CBA2-DA5C-4304-9515-2781E450FE9D}">
  <ds:schemaRefs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80d1518-9a38-4efc-9256-c61c5ecdae13"/>
    <ds:schemaRef ds:uri="http://schemas.microsoft.com/office/2006/metadata/properties"/>
    <ds:schemaRef ds:uri="http://purl.org/dc/elements/1.1/"/>
    <ds:schemaRef ds:uri="62775453-3938-4fc9-879a-0b66d953608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</vt:lpstr>
      <vt:lpstr>Locations &amp; Transportation</vt:lpstr>
      <vt:lpstr>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2025-03-19T22:44:37Z</dcterms:created>
  <dcterms:modified xsi:type="dcterms:W3CDTF">2025-03-20T15:32:21Z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