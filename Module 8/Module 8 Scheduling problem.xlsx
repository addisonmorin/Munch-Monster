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udent\Downloads\Module 8\"/>
    </mc:Choice>
  </mc:AlternateContent>
  <xr:revisionPtr revIDLastSave="0" documentId="8_{9B66A52A-AD2A-4430-B51E-6F44802BB9E6}" xr6:coauthVersionLast="47" xr6:coauthVersionMax="47" xr10:uidLastSave="{00000000-0000-0000-0000-000000000000}"/>
  <bookViews>
    <workbookView xWindow="-110" yWindow="-110" windowWidth="19420" windowHeight="10300" firstSheet="2" activeTab="3" xr2:uid="{189428BF-8A06-4423-9369-7E6912D9E7DD}"/>
  </bookViews>
  <sheets>
    <sheet name="Stipulation 2" sheetId="5" r:id="rId1"/>
    <sheet name="Stipulation 1" sheetId="4" r:id="rId2"/>
    <sheet name="Data" sheetId="1" r:id="rId3"/>
    <sheet name="Table" sheetId="6" r:id="rId4"/>
    <sheet name="Model" sheetId="3" r:id="rId5"/>
  </sheets>
  <definedNames>
    <definedName name="solver_adj" localSheetId="4" hidden="1">Model!$O$6:$O$12</definedName>
    <definedName name="solver_adj" localSheetId="1" hidden="1">'Stipulation 1'!$O$6:$O$12</definedName>
    <definedName name="solver_adj" localSheetId="0" hidden="1">'Stipulation 2'!$O$6:$O$12</definedName>
    <definedName name="solver_cvg" localSheetId="4" hidden="1">0.0001</definedName>
    <definedName name="solver_cvg" localSheetId="1" hidden="1">0.0001</definedName>
    <definedName name="solver_cvg" localSheetId="0" hidden="1">0.0001</definedName>
    <definedName name="solver_drv" localSheetId="4" hidden="1">2</definedName>
    <definedName name="solver_drv" localSheetId="1" hidden="1">2</definedName>
    <definedName name="solver_drv" localSheetId="0" hidden="1">2</definedName>
    <definedName name="solver_eng" localSheetId="4" hidden="1">2</definedName>
    <definedName name="solver_eng" localSheetId="1" hidden="1">2</definedName>
    <definedName name="solver_eng" localSheetId="0" hidden="1">2</definedName>
    <definedName name="solver_est" localSheetId="4" hidden="1">1</definedName>
    <definedName name="solver_est" localSheetId="1" hidden="1">1</definedName>
    <definedName name="solver_est" localSheetId="0" hidden="1">1</definedName>
    <definedName name="solver_itr" localSheetId="4" hidden="1">2147483647</definedName>
    <definedName name="solver_itr" localSheetId="1" hidden="1">2147483647</definedName>
    <definedName name="solver_itr" localSheetId="0" hidden="1">2147483647</definedName>
    <definedName name="solver_lhs1" localSheetId="4" hidden="1">Model!$C$13:$N$13</definedName>
    <definedName name="solver_lhs1" localSheetId="1" hidden="1">'Stipulation 1'!$C$13:$N$13</definedName>
    <definedName name="solver_lhs1" localSheetId="0" hidden="1">'Stipulation 2'!$C$13:$N$13</definedName>
    <definedName name="solver_lhs2" localSheetId="4" hidden="1">Model!$O$6:$O$12</definedName>
    <definedName name="solver_lhs2" localSheetId="1" hidden="1">'Stipulation 1'!$O$12</definedName>
    <definedName name="solver_lhs2" localSheetId="0" hidden="1">'Stipulation 2'!$O$6:$O$12</definedName>
    <definedName name="solver_lhs3" localSheetId="4" hidden="1">Model!$O$6:$O$12</definedName>
    <definedName name="solver_lhs3" localSheetId="1" hidden="1">'Stipulation 1'!$O$6:$O$12</definedName>
    <definedName name="solver_lhs3" localSheetId="0" hidden="1">'Stipulation 2'!$O$6:$O$12</definedName>
    <definedName name="solver_lhs4" localSheetId="1" hidden="1">'Stipulation 1'!$O$6:$O$12</definedName>
    <definedName name="solver_mip" localSheetId="4" hidden="1">2147483647</definedName>
    <definedName name="solver_mip" localSheetId="1" hidden="1">2147483647</definedName>
    <definedName name="solver_mip" localSheetId="0" hidden="1">2147483647</definedName>
    <definedName name="solver_mni" localSheetId="4" hidden="1">30</definedName>
    <definedName name="solver_mni" localSheetId="1" hidden="1">30</definedName>
    <definedName name="solver_mni" localSheetId="0" hidden="1">30</definedName>
    <definedName name="solver_mrt" localSheetId="4" hidden="1">0.075</definedName>
    <definedName name="solver_mrt" localSheetId="1" hidden="1">0.075</definedName>
    <definedName name="solver_mrt" localSheetId="0" hidden="1">0.075</definedName>
    <definedName name="solver_msl" localSheetId="4" hidden="1">2</definedName>
    <definedName name="solver_msl" localSheetId="1" hidden="1">2</definedName>
    <definedName name="solver_msl" localSheetId="0" hidden="1">2</definedName>
    <definedName name="solver_neg" localSheetId="4" hidden="1">1</definedName>
    <definedName name="solver_neg" localSheetId="1" hidden="1">1</definedName>
    <definedName name="solver_neg" localSheetId="0" hidden="1">1</definedName>
    <definedName name="solver_nod" localSheetId="4" hidden="1">2147483647</definedName>
    <definedName name="solver_nod" localSheetId="1" hidden="1">2147483647</definedName>
    <definedName name="solver_nod" localSheetId="0" hidden="1">2147483647</definedName>
    <definedName name="solver_num" localSheetId="4" hidden="1">3</definedName>
    <definedName name="solver_num" localSheetId="1" hidden="1">4</definedName>
    <definedName name="solver_num" localSheetId="0" hidden="1">3</definedName>
    <definedName name="solver_nwt" localSheetId="4" hidden="1">1</definedName>
    <definedName name="solver_nwt" localSheetId="1" hidden="1">1</definedName>
    <definedName name="solver_nwt" localSheetId="0" hidden="1">1</definedName>
    <definedName name="solver_opt" localSheetId="4" hidden="1">Model!$P$14</definedName>
    <definedName name="solver_opt" localSheetId="1" hidden="1">'Stipulation 1'!$P$14</definedName>
    <definedName name="solver_opt" localSheetId="0" hidden="1">'Stipulation 2'!$P$14</definedName>
    <definedName name="solver_pre" localSheetId="4" hidden="1">0.000001</definedName>
    <definedName name="solver_pre" localSheetId="1" hidden="1">0.000001</definedName>
    <definedName name="solver_pre" localSheetId="0" hidden="1">0.000001</definedName>
    <definedName name="solver_rbv" localSheetId="4" hidden="1">2</definedName>
    <definedName name="solver_rbv" localSheetId="1" hidden="1">2</definedName>
    <definedName name="solver_rbv" localSheetId="0" hidden="1">2</definedName>
    <definedName name="solver_rel1" localSheetId="4" hidden="1">3</definedName>
    <definedName name="solver_rel1" localSheetId="1" hidden="1">3</definedName>
    <definedName name="solver_rel1" localSheetId="0" hidden="1">3</definedName>
    <definedName name="solver_rel2" localSheetId="4" hidden="1">4</definedName>
    <definedName name="solver_rel2" localSheetId="1" hidden="1">1</definedName>
    <definedName name="solver_rel2" localSheetId="0" hidden="1">4</definedName>
    <definedName name="solver_rel3" localSheetId="4" hidden="1">3</definedName>
    <definedName name="solver_rel3" localSheetId="1" hidden="1">4</definedName>
    <definedName name="solver_rel3" localSheetId="0" hidden="1">3</definedName>
    <definedName name="solver_rel4" localSheetId="1" hidden="1">3</definedName>
    <definedName name="solver_rhs1" localSheetId="4" hidden="1">Model!$C$14:$N$14</definedName>
    <definedName name="solver_rhs1" localSheetId="1" hidden="1">'Stipulation 1'!$C$14:$N$14</definedName>
    <definedName name="solver_rhs1" localSheetId="0" hidden="1">'Stipulation 2'!$C$14:$N$14</definedName>
    <definedName name="solver_rhs2" localSheetId="4" hidden="1">"integer"</definedName>
    <definedName name="solver_rhs2" localSheetId="1" hidden="1">396</definedName>
    <definedName name="solver_rhs2" localSheetId="0" hidden="1">"integer"</definedName>
    <definedName name="solver_rhs3" localSheetId="4" hidden="1">0</definedName>
    <definedName name="solver_rhs3" localSheetId="1" hidden="1">"integer"</definedName>
    <definedName name="solver_rhs3" localSheetId="0" hidden="1">0</definedName>
    <definedName name="solver_rhs4" localSheetId="1" hidden="1">0</definedName>
    <definedName name="solver_rlx" localSheetId="4" hidden="1">2</definedName>
    <definedName name="solver_rlx" localSheetId="1" hidden="1">2</definedName>
    <definedName name="solver_rlx" localSheetId="0" hidden="1">2</definedName>
    <definedName name="solver_rsd" localSheetId="4" hidden="1">0</definedName>
    <definedName name="solver_rsd" localSheetId="1" hidden="1">0</definedName>
    <definedName name="solver_rsd" localSheetId="0" hidden="1">0</definedName>
    <definedName name="solver_scl" localSheetId="4" hidden="1">2</definedName>
    <definedName name="solver_scl" localSheetId="1" hidden="1">2</definedName>
    <definedName name="solver_scl" localSheetId="0" hidden="1">2</definedName>
    <definedName name="solver_sho" localSheetId="4" hidden="1">2</definedName>
    <definedName name="solver_sho" localSheetId="1" hidden="1">2</definedName>
    <definedName name="solver_sho" localSheetId="0" hidden="1">2</definedName>
    <definedName name="solver_ssz" localSheetId="4" hidden="1">100</definedName>
    <definedName name="solver_ssz" localSheetId="1" hidden="1">100</definedName>
    <definedName name="solver_ssz" localSheetId="0" hidden="1">100</definedName>
    <definedName name="solver_tim" localSheetId="4" hidden="1">2147483647</definedName>
    <definedName name="solver_tim" localSheetId="1" hidden="1">2147483647</definedName>
    <definedName name="solver_tim" localSheetId="0" hidden="1">2147483647</definedName>
    <definedName name="solver_tol" localSheetId="4" hidden="1">0</definedName>
    <definedName name="solver_tol" localSheetId="1" hidden="1">0</definedName>
    <definedName name="solver_tol" localSheetId="0" hidden="1">0</definedName>
    <definedName name="solver_typ" localSheetId="4" hidden="1">2</definedName>
    <definedName name="solver_typ" localSheetId="1" hidden="1">2</definedName>
    <definedName name="solver_typ" localSheetId="0" hidden="1">2</definedName>
    <definedName name="solver_val" localSheetId="4" hidden="1">0</definedName>
    <definedName name="solver_val" localSheetId="1" hidden="1">0</definedName>
    <definedName name="solver_val" localSheetId="0" hidden="1">0</definedName>
    <definedName name="solver_ver" localSheetId="4" hidden="1">3</definedName>
    <definedName name="solver_ver" localSheetId="1" hidden="1">3</definedName>
    <definedName name="solver_ver" localSheetId="0" hidden="1">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6" l="1"/>
  <c r="D8" i="6"/>
  <c r="D7" i="6"/>
  <c r="D6" i="6"/>
  <c r="D5" i="6"/>
  <c r="D4" i="6"/>
  <c r="D3" i="6"/>
  <c r="N13" i="5"/>
  <c r="M13" i="5"/>
  <c r="L13" i="5"/>
  <c r="K13" i="5"/>
  <c r="J13" i="5"/>
  <c r="I13" i="5"/>
  <c r="H13" i="5"/>
  <c r="G13" i="5"/>
  <c r="F13" i="5"/>
  <c r="E13" i="5"/>
  <c r="D13" i="5"/>
  <c r="C13" i="5"/>
  <c r="P12" i="5"/>
  <c r="P11" i="5"/>
  <c r="P10" i="5"/>
  <c r="P9" i="5"/>
  <c r="P8" i="5"/>
  <c r="P14" i="5" s="1"/>
  <c r="P7" i="5"/>
  <c r="P6" i="5"/>
  <c r="O16" i="4"/>
  <c r="N13" i="4"/>
  <c r="P12" i="4"/>
  <c r="P11" i="4"/>
  <c r="P10" i="4"/>
  <c r="P9" i="4"/>
  <c r="P8" i="4"/>
  <c r="P7" i="4"/>
  <c r="P6" i="4"/>
  <c r="D13" i="3"/>
  <c r="E13" i="3"/>
  <c r="F13" i="3"/>
  <c r="G13" i="3"/>
  <c r="H13" i="3"/>
  <c r="I13" i="3"/>
  <c r="J13" i="3"/>
  <c r="K13" i="3"/>
  <c r="L13" i="3"/>
  <c r="M13" i="3"/>
  <c r="N13" i="3"/>
  <c r="C13" i="3"/>
  <c r="P12" i="3"/>
  <c r="P11" i="3"/>
  <c r="P10" i="3"/>
  <c r="P9" i="3"/>
  <c r="P8" i="3"/>
  <c r="P7" i="3"/>
  <c r="P6" i="3"/>
  <c r="P14" i="3" s="1"/>
  <c r="F2" i="1"/>
  <c r="G13" i="4" l="1"/>
  <c r="H13" i="4"/>
  <c r="J13" i="4"/>
  <c r="I13" i="4"/>
  <c r="C13" i="4"/>
  <c r="K13" i="4"/>
  <c r="D13" i="4"/>
  <c r="E13" i="4"/>
  <c r="M13" i="4"/>
  <c r="P14" i="4"/>
  <c r="L13" i="4"/>
  <c r="F13" i="4"/>
</calcChain>
</file>

<file path=xl/sharedStrings.xml><?xml version="1.0" encoding="utf-8"?>
<sst xmlns="http://schemas.openxmlformats.org/spreadsheetml/2006/main" count="115" uniqueCount="72">
  <si>
    <t>month</t>
  </si>
  <si>
    <t>foot_traffic</t>
  </si>
  <si>
    <t>employee</t>
  </si>
  <si>
    <t>monthly_salary</t>
  </si>
  <si>
    <t>Taffy Twinkleton</t>
  </si>
  <si>
    <t>Sassy Sourstripe</t>
  </si>
  <si>
    <t>Twizzle Taffeta</t>
  </si>
  <si>
    <t>Lolly McSprinkle</t>
  </si>
  <si>
    <t>Marshmallow Molly</t>
  </si>
  <si>
    <t>Gumdrop Grace</t>
  </si>
  <si>
    <t>Merry Marzipan</t>
  </si>
  <si>
    <t>Nougat Nelly</t>
  </si>
  <si>
    <t>Candy Carmichael</t>
  </si>
  <si>
    <t>Chompers McSweet</t>
  </si>
  <si>
    <t>Twinkle Taffybell</t>
  </si>
  <si>
    <t>Fizzwick Frost</t>
  </si>
  <si>
    <t>Pixie Peppermint</t>
  </si>
  <si>
    <t>Maple Marshmallow</t>
  </si>
  <si>
    <t>Bonbon Bella</t>
  </si>
  <si>
    <t>Whimsy Whiskers</t>
  </si>
  <si>
    <t>Dizzy Dandelion</t>
  </si>
  <si>
    <t>Truffle Tilda</t>
  </si>
  <si>
    <t>Gummy Gus</t>
  </si>
  <si>
    <t>Lulu Licorice</t>
  </si>
  <si>
    <t>Benny Bonbon</t>
  </si>
  <si>
    <t>Snickersnack Sam</t>
  </si>
  <si>
    <t>Scooter Snickerdoodle</t>
  </si>
  <si>
    <t>Muffin McMint</t>
  </si>
  <si>
    <t>Cocoa Clement</t>
  </si>
  <si>
    <t>Sprinkle Bea</t>
  </si>
  <si>
    <t>Tootsie McGiggly</t>
  </si>
  <si>
    <t>Poppi Lollipop</t>
  </si>
  <si>
    <t>Bubbles Butterbean</t>
  </si>
  <si>
    <t>Wiggles Wafflecone</t>
  </si>
  <si>
    <t>Chuckles Choco</t>
  </si>
  <si>
    <t>Jellybean Juniper</t>
  </si>
  <si>
    <t>Fizzabelle Pop</t>
  </si>
  <si>
    <t>Ginger Gumdrop</t>
  </si>
  <si>
    <t>Sunny Sassafras</t>
  </si>
  <si>
    <t>Sparkle Sundae</t>
  </si>
  <si>
    <t>Gingersnap Gwen</t>
  </si>
  <si>
    <t>Dottie Dotsworth</t>
  </si>
  <si>
    <t>Cherry Chewella</t>
  </si>
  <si>
    <t>Caramel Clementine</t>
  </si>
  <si>
    <t>Jiggly Juliebean</t>
  </si>
  <si>
    <t>Candyfloss Claire</t>
  </si>
  <si>
    <t>agency</t>
  </si>
  <si>
    <t>beginning_month_of_service</t>
  </si>
  <si>
    <t>duration_of_service</t>
  </si>
  <si>
    <t>Lickety Split Co.</t>
  </si>
  <si>
    <t>The Whipped Wish</t>
  </si>
  <si>
    <t>Snickerdoodle Street</t>
  </si>
  <si>
    <t>Toffee Twirl</t>
  </si>
  <si>
    <t>Zesty Zagnut</t>
  </si>
  <si>
    <t>Caramel Carousel</t>
  </si>
  <si>
    <t>Days On = 1, Days Off = 0</t>
  </si>
  <si>
    <t>Workers Scheduled</t>
  </si>
  <si>
    <t>Wages per Worker</t>
  </si>
  <si>
    <t>Available</t>
  </si>
  <si>
    <t>Required</t>
  </si>
  <si>
    <t>Total -&gt;</t>
  </si>
  <si>
    <t>average</t>
  </si>
  <si>
    <t>Full time employees</t>
  </si>
  <si>
    <t>Agencies</t>
  </si>
  <si>
    <t>Months off</t>
  </si>
  <si>
    <t>Salary</t>
  </si>
  <si>
    <t>1,2,3,4,7,8,9,10,11,12</t>
  </si>
  <si>
    <t>1,2,3,4,8,9,10,11,12</t>
  </si>
  <si>
    <t>1,2,3,4,5,6,7,11,12</t>
  </si>
  <si>
    <t>1,5,6,7,8,9,10,11,12</t>
  </si>
  <si>
    <t>1,2,3,4,5,6,7,8,9,10</t>
  </si>
  <si>
    <t>3,4,5,6,7,8,9,10,11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</si>
</sst>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</numFmts>
  <fonts count="2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6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theme="3" tint="0.249977111117893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4">
    <xf numFmtId="0" fontId="0" fillId="0" borderId="0" xfId="0"/>
    <xf numFmtId="0" fontId="16" fillId="0" borderId="10" xfId="0" applyFont="1" applyBorder="1" applyAlignment="1">
      <alignment horizontal="center"/>
    </xf>
    <xf numFmtId="0" fontId="16" fillId="0" borderId="14" xfId="0" applyFont="1" applyBorder="1" applyAlignment="1">
      <alignment horizontal="center"/>
    </xf>
    <xf numFmtId="0" fontId="16" fillId="0" borderId="15" xfId="0" applyFont="1" applyBorder="1" applyAlignment="1">
      <alignment horizontal="center"/>
    </xf>
    <xf numFmtId="0" fontId="16" fillId="0" borderId="16" xfId="0" applyFont="1" applyBorder="1" applyAlignment="1">
      <alignment horizontal="center"/>
    </xf>
    <xf numFmtId="0" fontId="16" fillId="0" borderId="17" xfId="0" applyFont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0" xfId="0" applyAlignment="1">
      <alignment horizontal="center"/>
    </xf>
    <xf numFmtId="0" fontId="18" fillId="33" borderId="18" xfId="0" applyFont="1" applyFill="1" applyBorder="1" applyAlignment="1">
      <alignment horizontal="center"/>
    </xf>
    <xf numFmtId="0" fontId="16" fillId="0" borderId="18" xfId="0" applyFont="1" applyBorder="1"/>
    <xf numFmtId="0" fontId="19" fillId="33" borderId="19" xfId="0" applyFont="1" applyFill="1" applyBorder="1" applyAlignment="1">
      <alignment horizontal="center"/>
    </xf>
    <xf numFmtId="0" fontId="16" fillId="0" borderId="14" xfId="0" applyFont="1" applyBorder="1"/>
    <xf numFmtId="0" fontId="16" fillId="0" borderId="0" xfId="0" applyFont="1" applyAlignment="1">
      <alignment horizontal="center"/>
    </xf>
    <xf numFmtId="164" fontId="20" fillId="33" borderId="20" xfId="1" applyNumberFormat="1" applyFont="1" applyFill="1" applyBorder="1"/>
    <xf numFmtId="164" fontId="0" fillId="0" borderId="0" xfId="1" applyNumberFormat="1" applyFont="1" applyAlignment="1">
      <alignment horizontal="center"/>
    </xf>
    <xf numFmtId="0" fontId="0" fillId="34" borderId="0" xfId="0" applyFill="1" applyAlignment="1">
      <alignment horizontal="center"/>
    </xf>
    <xf numFmtId="0" fontId="0" fillId="34" borderId="19" xfId="0" applyFill="1" applyBorder="1" applyAlignment="1">
      <alignment horizontal="center"/>
    </xf>
    <xf numFmtId="0" fontId="16" fillId="0" borderId="11" xfId="0" applyFont="1" applyBorder="1" applyAlignment="1">
      <alignment horizontal="center"/>
    </xf>
    <xf numFmtId="0" fontId="16" fillId="0" borderId="12" xfId="0" applyFont="1" applyBorder="1" applyAlignment="1">
      <alignment horizontal="center"/>
    </xf>
    <xf numFmtId="0" fontId="16" fillId="0" borderId="13" xfId="0" applyFont="1" applyBorder="1" applyAlignment="1">
      <alignment horizontal="center"/>
    </xf>
    <xf numFmtId="0" fontId="16" fillId="0" borderId="10" xfId="0" applyFont="1" applyBorder="1" applyAlignment="1">
      <alignment horizontal="center" wrapText="1"/>
    </xf>
    <xf numFmtId="0" fontId="16" fillId="0" borderId="14" xfId="0" applyFont="1" applyBorder="1" applyAlignment="1">
      <alignment horizontal="center" wrapText="1"/>
    </xf>
    <xf numFmtId="0" fontId="16" fillId="0" borderId="13" xfId="0" applyFont="1" applyBorder="1" applyAlignment="1">
      <alignment horizontal="center" wrapText="1"/>
    </xf>
    <xf numFmtId="0" fontId="16" fillId="0" borderId="17" xfId="0" applyFont="1" applyBorder="1" applyAlignment="1">
      <alignment horizontal="center" wrapText="1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urrency" xfId="1" builtinId="4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33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foot_traffic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Data!$A$2:$A$13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xVal>
          <c:yVal>
            <c:numRef>
              <c:f>Data!$B$2:$B$13</c:f>
              <c:numCache>
                <c:formatCode>General</c:formatCode>
                <c:ptCount val="12"/>
                <c:pt idx="0">
                  <c:v>267</c:v>
                </c:pt>
                <c:pt idx="1">
                  <c:v>366</c:v>
                </c:pt>
                <c:pt idx="2">
                  <c:v>505</c:v>
                </c:pt>
                <c:pt idx="3">
                  <c:v>565</c:v>
                </c:pt>
                <c:pt idx="4">
                  <c:v>495</c:v>
                </c:pt>
                <c:pt idx="5">
                  <c:v>365</c:v>
                </c:pt>
                <c:pt idx="6">
                  <c:v>304</c:v>
                </c:pt>
                <c:pt idx="7">
                  <c:v>384</c:v>
                </c:pt>
                <c:pt idx="8">
                  <c:v>545</c:v>
                </c:pt>
                <c:pt idx="9">
                  <c:v>651</c:v>
                </c:pt>
                <c:pt idx="10">
                  <c:v>608</c:v>
                </c:pt>
                <c:pt idx="11">
                  <c:v>461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B2D-4C10-87E4-6BC4EDEA5C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3461504"/>
        <c:axId val="433462584"/>
      </c:scatterChart>
      <c:valAx>
        <c:axId val="4334615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3462584"/>
        <c:crosses val="autoZero"/>
        <c:crossBetween val="midCat"/>
      </c:valAx>
      <c:valAx>
        <c:axId val="433462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34615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foot_traffic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Data!$A$2:$A$13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xVal>
          <c:yVal>
            <c:numRef>
              <c:f>Data!$B$2:$B$13</c:f>
              <c:numCache>
                <c:formatCode>General</c:formatCode>
                <c:ptCount val="12"/>
                <c:pt idx="0">
                  <c:v>267</c:v>
                </c:pt>
                <c:pt idx="1">
                  <c:v>366</c:v>
                </c:pt>
                <c:pt idx="2">
                  <c:v>505</c:v>
                </c:pt>
                <c:pt idx="3">
                  <c:v>565</c:v>
                </c:pt>
                <c:pt idx="4">
                  <c:v>495</c:v>
                </c:pt>
                <c:pt idx="5">
                  <c:v>365</c:v>
                </c:pt>
                <c:pt idx="6">
                  <c:v>304</c:v>
                </c:pt>
                <c:pt idx="7">
                  <c:v>384</c:v>
                </c:pt>
                <c:pt idx="8">
                  <c:v>545</c:v>
                </c:pt>
                <c:pt idx="9">
                  <c:v>651</c:v>
                </c:pt>
                <c:pt idx="10">
                  <c:v>608</c:v>
                </c:pt>
                <c:pt idx="11">
                  <c:v>461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451-449C-8576-FFCA0F94BE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3461504"/>
        <c:axId val="433462584"/>
      </c:scatterChart>
      <c:valAx>
        <c:axId val="4334615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3462584"/>
        <c:crosses val="autoZero"/>
        <c:crossBetween val="midCat"/>
      </c:valAx>
      <c:valAx>
        <c:axId val="433462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34615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127001</xdr:colOff>
      <xdr:row>14</xdr:row>
      <xdr:rowOff>28222</xdr:rowOff>
    </xdr:from>
    <xdr:to>
      <xdr:col>10</xdr:col>
      <xdr:colOff>451556</xdr:colOff>
      <xdr:row>29</xdr:row>
      <xdr:rowOff>19755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0F42153-A9B1-4193-BE6F-3373507F6D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127001</xdr:colOff>
      <xdr:row>14</xdr:row>
      <xdr:rowOff>28222</xdr:rowOff>
    </xdr:from>
    <xdr:to>
      <xdr:col>10</xdr:col>
      <xdr:colOff>451556</xdr:colOff>
      <xdr:row>29</xdr:row>
      <xdr:rowOff>19755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DB7141E-869A-416A-B518-F00D807814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F9A46-440F-45B2-8589-1AFBC2F1BC20}">
  <dimension ref="B3:P14"/>
  <sheetViews>
    <sheetView zoomScale="90" zoomScaleNormal="90" workbookViewId="0">
      <selection activeCell="N17" sqref="N17"/>
    </sheetView>
  </sheetViews>
  <sheetFormatPr defaultRowHeight="14.5" x14ac:dyDescent="0.35"/>
  <cols>
    <col min="2" max="2" width="17.7265625" bestFit="1" customWidth="1"/>
    <col min="15" max="15" width="16.453125" bestFit="1" customWidth="1"/>
    <col min="16" max="16" width="15.7265625" bestFit="1" customWidth="1"/>
  </cols>
  <sheetData>
    <row r="3" spans="2:16" ht="15" thickBot="1" x14ac:dyDescent="0.4"/>
    <row r="4" spans="2:16" ht="14.5" customHeight="1" x14ac:dyDescent="0.35">
      <c r="B4" s="1"/>
      <c r="C4" s="17" t="s">
        <v>55</v>
      </c>
      <c r="D4" s="18"/>
      <c r="E4" s="18"/>
      <c r="F4" s="18"/>
      <c r="G4" s="18"/>
      <c r="H4" s="18"/>
      <c r="I4" s="18"/>
      <c r="J4" s="18"/>
      <c r="K4" s="18"/>
      <c r="L4" s="18"/>
      <c r="M4" s="18"/>
      <c r="N4" s="19"/>
      <c r="O4" s="20" t="s">
        <v>56</v>
      </c>
      <c r="P4" s="22" t="s">
        <v>57</v>
      </c>
    </row>
    <row r="5" spans="2:16" ht="15" thickBot="1" x14ac:dyDescent="0.4">
      <c r="B5" s="2" t="s">
        <v>63</v>
      </c>
      <c r="C5" s="3">
        <v>1</v>
      </c>
      <c r="D5" s="4">
        <v>2</v>
      </c>
      <c r="E5" s="4">
        <v>3</v>
      </c>
      <c r="F5" s="4">
        <v>4</v>
      </c>
      <c r="G5" s="4">
        <v>5</v>
      </c>
      <c r="H5" s="4">
        <v>6</v>
      </c>
      <c r="I5" s="4">
        <v>7</v>
      </c>
      <c r="J5" s="4">
        <v>8</v>
      </c>
      <c r="K5" s="4">
        <v>9</v>
      </c>
      <c r="L5" s="4">
        <v>10</v>
      </c>
      <c r="M5" s="4">
        <v>11</v>
      </c>
      <c r="N5" s="5">
        <v>12</v>
      </c>
      <c r="O5" s="21"/>
      <c r="P5" s="23"/>
    </row>
    <row r="6" spans="2:16" x14ac:dyDescent="0.35">
      <c r="B6" t="s">
        <v>49</v>
      </c>
      <c r="C6" s="6">
        <v>0</v>
      </c>
      <c r="D6" s="6">
        <v>0</v>
      </c>
      <c r="E6" s="6">
        <v>0</v>
      </c>
      <c r="F6" s="6">
        <v>0</v>
      </c>
      <c r="G6" s="15">
        <v>1</v>
      </c>
      <c r="H6" s="15">
        <v>1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8">
        <v>0</v>
      </c>
      <c r="P6" s="14">
        <f>7679*2</f>
        <v>15358</v>
      </c>
    </row>
    <row r="7" spans="2:16" x14ac:dyDescent="0.35">
      <c r="B7" t="s">
        <v>50</v>
      </c>
      <c r="C7" s="6">
        <v>0</v>
      </c>
      <c r="D7" s="6">
        <v>0</v>
      </c>
      <c r="E7" s="6">
        <v>0</v>
      </c>
      <c r="F7" s="6">
        <v>0</v>
      </c>
      <c r="G7" s="15">
        <v>1</v>
      </c>
      <c r="H7" s="15">
        <v>1</v>
      </c>
      <c r="I7" s="15">
        <v>1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8">
        <v>0</v>
      </c>
      <c r="P7" s="14">
        <f>7005*3</f>
        <v>21015</v>
      </c>
    </row>
    <row r="8" spans="2:16" x14ac:dyDescent="0.35">
      <c r="B8" t="s">
        <v>51</v>
      </c>
      <c r="C8" s="6">
        <v>0</v>
      </c>
      <c r="D8" s="6">
        <v>0</v>
      </c>
      <c r="E8" s="6">
        <v>0</v>
      </c>
      <c r="F8" s="6">
        <v>0</v>
      </c>
      <c r="G8" s="7">
        <v>0</v>
      </c>
      <c r="H8" s="7">
        <v>0</v>
      </c>
      <c r="I8" s="7">
        <v>0</v>
      </c>
      <c r="J8" s="15">
        <v>1</v>
      </c>
      <c r="K8" s="15">
        <v>1</v>
      </c>
      <c r="L8" s="15">
        <v>1</v>
      </c>
      <c r="M8" s="7">
        <v>0</v>
      </c>
      <c r="N8" s="7">
        <v>0</v>
      </c>
      <c r="O8" s="8">
        <v>156</v>
      </c>
      <c r="P8" s="14">
        <f>8434*3</f>
        <v>25302</v>
      </c>
    </row>
    <row r="9" spans="2:16" x14ac:dyDescent="0.35">
      <c r="B9" t="s">
        <v>52</v>
      </c>
      <c r="C9" s="6">
        <v>0</v>
      </c>
      <c r="D9" s="15">
        <v>1</v>
      </c>
      <c r="E9" s="15">
        <v>1</v>
      </c>
      <c r="F9" s="15">
        <v>1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8">
        <v>70</v>
      </c>
      <c r="P9" s="14">
        <f>9483*3</f>
        <v>28449</v>
      </c>
    </row>
    <row r="10" spans="2:16" x14ac:dyDescent="0.35">
      <c r="B10" t="s">
        <v>53</v>
      </c>
      <c r="C10" s="6">
        <v>0</v>
      </c>
      <c r="D10" s="7">
        <v>0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16">
        <v>1</v>
      </c>
      <c r="N10" s="16">
        <v>1</v>
      </c>
      <c r="O10" s="8">
        <v>113</v>
      </c>
      <c r="P10" s="14">
        <f>8141*2</f>
        <v>16282</v>
      </c>
    </row>
    <row r="11" spans="2:16" x14ac:dyDescent="0.35">
      <c r="B11" t="s">
        <v>54</v>
      </c>
      <c r="C11" s="16">
        <v>1</v>
      </c>
      <c r="D11" s="16">
        <v>1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16">
        <v>1</v>
      </c>
      <c r="O11" s="8">
        <v>0</v>
      </c>
      <c r="P11" s="14">
        <f>6848*3</f>
        <v>20544</v>
      </c>
    </row>
    <row r="12" spans="2:16" x14ac:dyDescent="0.35">
      <c r="B12" t="s">
        <v>62</v>
      </c>
      <c r="C12" s="16">
        <v>1</v>
      </c>
      <c r="D12" s="16">
        <v>1</v>
      </c>
      <c r="E12" s="16">
        <v>1</v>
      </c>
      <c r="F12" s="16">
        <v>1</v>
      </c>
      <c r="G12" s="16">
        <v>1</v>
      </c>
      <c r="H12" s="16">
        <v>1</v>
      </c>
      <c r="I12" s="16">
        <v>1</v>
      </c>
      <c r="J12" s="16">
        <v>1</v>
      </c>
      <c r="K12" s="16">
        <v>1</v>
      </c>
      <c r="L12" s="16">
        <v>1</v>
      </c>
      <c r="M12" s="16">
        <v>1</v>
      </c>
      <c r="N12" s="16">
        <v>1</v>
      </c>
      <c r="O12" s="8">
        <v>495</v>
      </c>
      <c r="P12" s="14">
        <f>6614.99761904762*12</f>
        <v>79379.971428571444</v>
      </c>
    </row>
    <row r="13" spans="2:16" ht="15" thickBot="1" x14ac:dyDescent="0.4">
      <c r="B13" s="9" t="s">
        <v>58</v>
      </c>
      <c r="C13" s="10">
        <f>SUMPRODUCT(C6:C12,$O$6:$O$12)</f>
        <v>495</v>
      </c>
      <c r="D13" s="10">
        <f t="shared" ref="D13:N13" si="0">SUMPRODUCT(D6:D12,$O$6:$O$12)</f>
        <v>565</v>
      </c>
      <c r="E13" s="10">
        <f t="shared" si="0"/>
        <v>565</v>
      </c>
      <c r="F13" s="10">
        <f t="shared" si="0"/>
        <v>565</v>
      </c>
      <c r="G13" s="10">
        <f t="shared" si="0"/>
        <v>495</v>
      </c>
      <c r="H13" s="10">
        <f t="shared" si="0"/>
        <v>495</v>
      </c>
      <c r="I13" s="10">
        <f t="shared" si="0"/>
        <v>495</v>
      </c>
      <c r="J13" s="10">
        <f t="shared" si="0"/>
        <v>651</v>
      </c>
      <c r="K13" s="10">
        <f t="shared" si="0"/>
        <v>651</v>
      </c>
      <c r="L13" s="10">
        <f t="shared" si="0"/>
        <v>651</v>
      </c>
      <c r="M13" s="10">
        <f t="shared" si="0"/>
        <v>608</v>
      </c>
      <c r="N13" s="10">
        <f t="shared" si="0"/>
        <v>608</v>
      </c>
    </row>
    <row r="14" spans="2:16" ht="15" thickBot="1" x14ac:dyDescent="0.4">
      <c r="B14" s="11" t="s">
        <v>59</v>
      </c>
      <c r="C14" s="3">
        <v>267</v>
      </c>
      <c r="D14" s="4">
        <v>366</v>
      </c>
      <c r="E14" s="4">
        <v>505</v>
      </c>
      <c r="F14" s="4">
        <v>565</v>
      </c>
      <c r="G14" s="4">
        <v>495</v>
      </c>
      <c r="H14" s="4">
        <v>365</v>
      </c>
      <c r="I14" s="4">
        <v>304</v>
      </c>
      <c r="J14" s="4">
        <v>384</v>
      </c>
      <c r="K14" s="4">
        <v>545</v>
      </c>
      <c r="L14" s="4">
        <v>651</v>
      </c>
      <c r="M14" s="4">
        <v>608</v>
      </c>
      <c r="N14" s="5">
        <v>461</v>
      </c>
      <c r="O14" s="12" t="s">
        <v>60</v>
      </c>
      <c r="P14" s="13">
        <f>SUMPRODUCT(O6:O12,P6:P12)</f>
        <v>47071493.857142866</v>
      </c>
    </row>
  </sheetData>
  <mergeCells count="3">
    <mergeCell ref="C4:N4"/>
    <mergeCell ref="O4:O5"/>
    <mergeCell ref="P4:P5"/>
  </mergeCells>
  <conditionalFormatting sqref="C6:C10">
    <cfRule type="cellIs" dxfId="32" priority="6" operator="equal">
      <formula>0</formula>
    </cfRule>
  </conditionalFormatting>
  <conditionalFormatting sqref="C6:N12">
    <cfRule type="cellIs" dxfId="31" priority="10" operator="equal">
      <formula>1</formula>
    </cfRule>
    <cfRule type="cellIs" dxfId="30" priority="11" operator="equal">
      <formula>1</formula>
    </cfRule>
    <cfRule type="colorScale" priority="12">
      <colorScale>
        <cfvo type="min"/>
        <cfvo type="max"/>
        <color rgb="FFFFEF9C"/>
        <color rgb="FF63BE7B"/>
      </colorScale>
    </cfRule>
  </conditionalFormatting>
  <conditionalFormatting sqref="D6:F8 C6:C10">
    <cfRule type="cellIs" dxfId="29" priority="9" operator="equal">
      <formula>0</formula>
    </cfRule>
  </conditionalFormatting>
  <conditionalFormatting sqref="D6:F8">
    <cfRule type="cellIs" dxfId="28" priority="5" operator="equal">
      <formula>0</formula>
    </cfRule>
  </conditionalFormatting>
  <conditionalFormatting sqref="D9:F9">
    <cfRule type="cellIs" dxfId="27" priority="2" operator="equal">
      <formula>1</formula>
    </cfRule>
  </conditionalFormatting>
  <conditionalFormatting sqref="G6:H7 I7">
    <cfRule type="cellIs" dxfId="26" priority="4" operator="equal">
      <formula>1</formula>
    </cfRule>
  </conditionalFormatting>
  <conditionalFormatting sqref="G8:I9 J9:L9 D10:L10 E11:M11">
    <cfRule type="cellIs" dxfId="25" priority="8" operator="equal">
      <formula>0</formula>
    </cfRule>
  </conditionalFormatting>
  <conditionalFormatting sqref="I6:L6 M6:N9 J7:L7">
    <cfRule type="cellIs" dxfId="24" priority="7" operator="equal">
      <formula>0</formula>
    </cfRule>
  </conditionalFormatting>
  <conditionalFormatting sqref="J8:L8">
    <cfRule type="cellIs" dxfId="23" priority="3" operator="equal">
      <formula>1</formula>
    </cfRule>
  </conditionalFormatting>
  <conditionalFormatting sqref="M10 N10:N11 C11:D12 E12:N12">
    <cfRule type="cellIs" dxfId="22" priority="1" operator="equal">
      <formula>1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0BA90-FD18-44F3-B731-5BF7EA7A956A}">
  <dimension ref="B3:P16"/>
  <sheetViews>
    <sheetView zoomScale="90" zoomScaleNormal="90" workbookViewId="0">
      <selection activeCell="R18" sqref="R18"/>
    </sheetView>
  </sheetViews>
  <sheetFormatPr defaultRowHeight="14.5" x14ac:dyDescent="0.35"/>
  <cols>
    <col min="2" max="2" width="17.7265625" bestFit="1" customWidth="1"/>
    <col min="15" max="15" width="16.453125" bestFit="1" customWidth="1"/>
    <col min="16" max="16" width="15.7265625" bestFit="1" customWidth="1"/>
  </cols>
  <sheetData>
    <row r="3" spans="2:16" ht="15" thickBot="1" x14ac:dyDescent="0.4"/>
    <row r="4" spans="2:16" ht="14.5" customHeight="1" x14ac:dyDescent="0.35">
      <c r="B4" s="1"/>
      <c r="C4" s="17" t="s">
        <v>55</v>
      </c>
      <c r="D4" s="18"/>
      <c r="E4" s="18"/>
      <c r="F4" s="18"/>
      <c r="G4" s="18"/>
      <c r="H4" s="18"/>
      <c r="I4" s="18"/>
      <c r="J4" s="18"/>
      <c r="K4" s="18"/>
      <c r="L4" s="18"/>
      <c r="M4" s="18"/>
      <c r="N4" s="19"/>
      <c r="O4" s="20" t="s">
        <v>56</v>
      </c>
      <c r="P4" s="22" t="s">
        <v>57</v>
      </c>
    </row>
    <row r="5" spans="2:16" ht="15" thickBot="1" x14ac:dyDescent="0.4">
      <c r="B5" s="2" t="s">
        <v>63</v>
      </c>
      <c r="C5" s="3">
        <v>1</v>
      </c>
      <c r="D5" s="4">
        <v>2</v>
      </c>
      <c r="E5" s="4">
        <v>3</v>
      </c>
      <c r="F5" s="4">
        <v>4</v>
      </c>
      <c r="G5" s="4">
        <v>5</v>
      </c>
      <c r="H5" s="4">
        <v>6</v>
      </c>
      <c r="I5" s="4">
        <v>7</v>
      </c>
      <c r="J5" s="4">
        <v>8</v>
      </c>
      <c r="K5" s="4">
        <v>9</v>
      </c>
      <c r="L5" s="4">
        <v>10</v>
      </c>
      <c r="M5" s="4">
        <v>11</v>
      </c>
      <c r="N5" s="5">
        <v>12</v>
      </c>
      <c r="O5" s="21"/>
      <c r="P5" s="23"/>
    </row>
    <row r="6" spans="2:16" x14ac:dyDescent="0.35">
      <c r="B6" t="s">
        <v>49</v>
      </c>
      <c r="C6" s="6">
        <v>0</v>
      </c>
      <c r="D6" s="6">
        <v>0</v>
      </c>
      <c r="E6" s="6">
        <v>0</v>
      </c>
      <c r="F6" s="6">
        <v>0</v>
      </c>
      <c r="G6" s="15">
        <v>1</v>
      </c>
      <c r="H6" s="15">
        <v>1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8">
        <v>99</v>
      </c>
      <c r="P6" s="14">
        <f>7679*2</f>
        <v>15358</v>
      </c>
    </row>
    <row r="7" spans="2:16" x14ac:dyDescent="0.35">
      <c r="B7" t="s">
        <v>50</v>
      </c>
      <c r="C7" s="6">
        <v>0</v>
      </c>
      <c r="D7" s="6">
        <v>0</v>
      </c>
      <c r="E7" s="6">
        <v>0</v>
      </c>
      <c r="F7" s="6">
        <v>0</v>
      </c>
      <c r="G7" s="15">
        <v>1</v>
      </c>
      <c r="H7" s="15">
        <v>1</v>
      </c>
      <c r="I7" s="15">
        <v>1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8">
        <v>0</v>
      </c>
      <c r="P7" s="14">
        <f>7005*3</f>
        <v>21015</v>
      </c>
    </row>
    <row r="8" spans="2:16" x14ac:dyDescent="0.35">
      <c r="B8" t="s">
        <v>51</v>
      </c>
      <c r="C8" s="6">
        <v>0</v>
      </c>
      <c r="D8" s="6">
        <v>0</v>
      </c>
      <c r="E8" s="6">
        <v>0</v>
      </c>
      <c r="F8" s="6">
        <v>0</v>
      </c>
      <c r="G8" s="7">
        <v>0</v>
      </c>
      <c r="H8" s="7">
        <v>0</v>
      </c>
      <c r="I8" s="7">
        <v>0</v>
      </c>
      <c r="J8" s="15">
        <v>1</v>
      </c>
      <c r="K8" s="15">
        <v>1</v>
      </c>
      <c r="L8" s="15">
        <v>1</v>
      </c>
      <c r="M8" s="7">
        <v>0</v>
      </c>
      <c r="N8" s="7">
        <v>0</v>
      </c>
      <c r="O8" s="8">
        <v>255</v>
      </c>
      <c r="P8" s="14">
        <f>8434*3</f>
        <v>25302</v>
      </c>
    </row>
    <row r="9" spans="2:16" x14ac:dyDescent="0.35">
      <c r="B9" t="s">
        <v>52</v>
      </c>
      <c r="C9" s="6">
        <v>0</v>
      </c>
      <c r="D9" s="15">
        <v>1</v>
      </c>
      <c r="E9" s="15">
        <v>1</v>
      </c>
      <c r="F9" s="15">
        <v>1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8">
        <v>169</v>
      </c>
      <c r="P9" s="14">
        <f>9483*3</f>
        <v>28449</v>
      </c>
    </row>
    <row r="10" spans="2:16" x14ac:dyDescent="0.35">
      <c r="B10" t="s">
        <v>53</v>
      </c>
      <c r="C10" s="6">
        <v>0</v>
      </c>
      <c r="D10" s="7">
        <v>0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16">
        <v>1</v>
      </c>
      <c r="N10" s="16">
        <v>1</v>
      </c>
      <c r="O10" s="8">
        <v>212</v>
      </c>
      <c r="P10" s="14">
        <f>8141*2</f>
        <v>16282</v>
      </c>
    </row>
    <row r="11" spans="2:16" x14ac:dyDescent="0.35">
      <c r="B11" t="s">
        <v>54</v>
      </c>
      <c r="C11" s="16">
        <v>1</v>
      </c>
      <c r="D11" s="16">
        <v>1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16">
        <v>1</v>
      </c>
      <c r="O11" s="8">
        <v>0</v>
      </c>
      <c r="P11" s="14">
        <f>6848*3</f>
        <v>20544</v>
      </c>
    </row>
    <row r="12" spans="2:16" x14ac:dyDescent="0.35">
      <c r="B12" t="s">
        <v>62</v>
      </c>
      <c r="C12" s="16">
        <v>1</v>
      </c>
      <c r="D12" s="16">
        <v>1</v>
      </c>
      <c r="E12" s="16">
        <v>1</v>
      </c>
      <c r="F12" s="16">
        <v>1</v>
      </c>
      <c r="G12" s="16">
        <v>1</v>
      </c>
      <c r="H12" s="16">
        <v>1</v>
      </c>
      <c r="I12" s="16">
        <v>1</v>
      </c>
      <c r="J12" s="16">
        <v>1</v>
      </c>
      <c r="K12" s="16">
        <v>1</v>
      </c>
      <c r="L12" s="16">
        <v>1</v>
      </c>
      <c r="M12" s="16">
        <v>1</v>
      </c>
      <c r="N12" s="16">
        <v>1</v>
      </c>
      <c r="O12" s="8">
        <v>396</v>
      </c>
      <c r="P12" s="14">
        <f>6614.99761904762*12</f>
        <v>79379.971428571444</v>
      </c>
    </row>
    <row r="13" spans="2:16" ht="15" thickBot="1" x14ac:dyDescent="0.4">
      <c r="B13" s="9" t="s">
        <v>58</v>
      </c>
      <c r="C13" s="10">
        <f>SUMPRODUCT(C6:C12,$O$6:$O$12)</f>
        <v>396</v>
      </c>
      <c r="D13" s="10">
        <f t="shared" ref="D13:N13" si="0">SUMPRODUCT(D6:D12,$O$6:$O$12)</f>
        <v>565</v>
      </c>
      <c r="E13" s="10">
        <f t="shared" si="0"/>
        <v>565</v>
      </c>
      <c r="F13" s="10">
        <f t="shared" si="0"/>
        <v>565</v>
      </c>
      <c r="G13" s="10">
        <f t="shared" si="0"/>
        <v>495</v>
      </c>
      <c r="H13" s="10">
        <f t="shared" si="0"/>
        <v>495</v>
      </c>
      <c r="I13" s="10">
        <f t="shared" si="0"/>
        <v>396</v>
      </c>
      <c r="J13" s="10">
        <f t="shared" si="0"/>
        <v>651</v>
      </c>
      <c r="K13" s="10">
        <f t="shared" si="0"/>
        <v>651</v>
      </c>
      <c r="L13" s="10">
        <f t="shared" si="0"/>
        <v>651</v>
      </c>
      <c r="M13" s="10">
        <f t="shared" si="0"/>
        <v>608</v>
      </c>
      <c r="N13" s="10">
        <f t="shared" si="0"/>
        <v>608</v>
      </c>
    </row>
    <row r="14" spans="2:16" ht="15" thickBot="1" x14ac:dyDescent="0.4">
      <c r="B14" s="11" t="s">
        <v>59</v>
      </c>
      <c r="C14" s="3">
        <v>267</v>
      </c>
      <c r="D14" s="4">
        <v>366</v>
      </c>
      <c r="E14" s="4">
        <v>505</v>
      </c>
      <c r="F14" s="4">
        <v>565</v>
      </c>
      <c r="G14" s="4">
        <v>495</v>
      </c>
      <c r="H14" s="4">
        <v>365</v>
      </c>
      <c r="I14" s="4">
        <v>304</v>
      </c>
      <c r="J14" s="4">
        <v>384</v>
      </c>
      <c r="K14" s="4">
        <v>545</v>
      </c>
      <c r="L14" s="4">
        <v>651</v>
      </c>
      <c r="M14" s="4">
        <v>608</v>
      </c>
      <c r="N14" s="5">
        <v>461</v>
      </c>
      <c r="O14" s="12" t="s">
        <v>60</v>
      </c>
      <c r="P14" s="13">
        <f>SUMPRODUCT(O6:O12,P6:P12)</f>
        <v>47666585.68571429</v>
      </c>
    </row>
    <row r="16" spans="2:16" x14ac:dyDescent="0.35">
      <c r="O16" s="8">
        <f>495*0.8</f>
        <v>396</v>
      </c>
    </row>
  </sheetData>
  <mergeCells count="3">
    <mergeCell ref="C4:N4"/>
    <mergeCell ref="O4:O5"/>
    <mergeCell ref="P4:P5"/>
  </mergeCells>
  <conditionalFormatting sqref="C6:C10">
    <cfRule type="cellIs" dxfId="21" priority="6" operator="equal">
      <formula>0</formula>
    </cfRule>
  </conditionalFormatting>
  <conditionalFormatting sqref="C6:N12">
    <cfRule type="cellIs" dxfId="20" priority="10" operator="equal">
      <formula>1</formula>
    </cfRule>
    <cfRule type="cellIs" dxfId="19" priority="11" operator="equal">
      <formula>1</formula>
    </cfRule>
    <cfRule type="colorScale" priority="12">
      <colorScale>
        <cfvo type="min"/>
        <cfvo type="max"/>
        <color rgb="FFFFEF9C"/>
        <color rgb="FF63BE7B"/>
      </colorScale>
    </cfRule>
  </conditionalFormatting>
  <conditionalFormatting sqref="D6:F8 C6:C10">
    <cfRule type="cellIs" dxfId="18" priority="9" operator="equal">
      <formula>0</formula>
    </cfRule>
  </conditionalFormatting>
  <conditionalFormatting sqref="D6:F8">
    <cfRule type="cellIs" dxfId="17" priority="5" operator="equal">
      <formula>0</formula>
    </cfRule>
  </conditionalFormatting>
  <conditionalFormatting sqref="D9:F9">
    <cfRule type="cellIs" dxfId="16" priority="2" operator="equal">
      <formula>1</formula>
    </cfRule>
  </conditionalFormatting>
  <conditionalFormatting sqref="G6:H7 I7">
    <cfRule type="cellIs" dxfId="15" priority="4" operator="equal">
      <formula>1</formula>
    </cfRule>
  </conditionalFormatting>
  <conditionalFormatting sqref="G8:I9 J9:L9 D10:L10 E11:M11">
    <cfRule type="cellIs" dxfId="14" priority="8" operator="equal">
      <formula>0</formula>
    </cfRule>
  </conditionalFormatting>
  <conditionalFormatting sqref="I6:L6 M6:N9 J7:L7">
    <cfRule type="cellIs" dxfId="13" priority="7" operator="equal">
      <formula>0</formula>
    </cfRule>
  </conditionalFormatting>
  <conditionalFormatting sqref="J8:L8">
    <cfRule type="cellIs" dxfId="12" priority="3" operator="equal">
      <formula>1</formula>
    </cfRule>
  </conditionalFormatting>
  <conditionalFormatting sqref="M10 N10:N11 C11:D12 E12:N12">
    <cfRule type="cellIs" dxfId="11" priority="1" operator="equal">
      <formula>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C2C68-9722-45A8-AAC0-AFC68A3497B6}">
  <dimension ref="A1:J43"/>
  <sheetViews>
    <sheetView topLeftCell="B1" workbookViewId="0">
      <selection activeCell="G11" sqref="G11"/>
    </sheetView>
  </sheetViews>
  <sheetFormatPr defaultRowHeight="14.5" x14ac:dyDescent="0.35"/>
  <cols>
    <col min="4" max="4" width="19.08984375" bestFit="1" customWidth="1"/>
    <col min="5" max="5" width="13" bestFit="1" customWidth="1"/>
    <col min="7" max="7" width="17.7265625" bestFit="1" customWidth="1"/>
    <col min="8" max="8" width="23.81640625" bestFit="1" customWidth="1"/>
    <col min="9" max="9" width="16.6328125" bestFit="1" customWidth="1"/>
    <col min="10" max="10" width="13" bestFit="1" customWidth="1"/>
  </cols>
  <sheetData>
    <row r="1" spans="1:10" x14ac:dyDescent="0.35">
      <c r="A1" t="s">
        <v>0</v>
      </c>
      <c r="B1" t="s">
        <v>1</v>
      </c>
      <c r="D1" t="s">
        <v>2</v>
      </c>
      <c r="E1" t="s">
        <v>3</v>
      </c>
      <c r="F1" t="s">
        <v>61</v>
      </c>
      <c r="G1" t="s">
        <v>46</v>
      </c>
      <c r="H1" t="s">
        <v>47</v>
      </c>
      <c r="I1" t="s">
        <v>48</v>
      </c>
      <c r="J1" t="s">
        <v>3</v>
      </c>
    </row>
    <row r="2" spans="1:10" x14ac:dyDescent="0.35">
      <c r="A2">
        <v>1</v>
      </c>
      <c r="B2">
        <v>267</v>
      </c>
      <c r="D2" t="s">
        <v>4</v>
      </c>
      <c r="E2">
        <v>7366.61</v>
      </c>
      <c r="F2">
        <f>AVERAGE(E2:E43)</f>
        <v>6614.99761904762</v>
      </c>
      <c r="G2" t="s">
        <v>49</v>
      </c>
      <c r="H2">
        <v>5</v>
      </c>
      <c r="I2">
        <v>2</v>
      </c>
      <c r="J2">
        <v>7679</v>
      </c>
    </row>
    <row r="3" spans="1:10" x14ac:dyDescent="0.35">
      <c r="A3">
        <v>2</v>
      </c>
      <c r="B3">
        <v>366</v>
      </c>
      <c r="D3" t="s">
        <v>5</v>
      </c>
      <c r="E3">
        <v>5187.75</v>
      </c>
      <c r="G3" t="s">
        <v>50</v>
      </c>
      <c r="H3">
        <v>5</v>
      </c>
      <c r="I3">
        <v>3</v>
      </c>
      <c r="J3">
        <v>7005</v>
      </c>
    </row>
    <row r="4" spans="1:10" x14ac:dyDescent="0.35">
      <c r="A4">
        <v>3</v>
      </c>
      <c r="B4">
        <v>505</v>
      </c>
      <c r="D4" t="s">
        <v>6</v>
      </c>
      <c r="E4">
        <v>4634.0600000000004</v>
      </c>
      <c r="G4" t="s">
        <v>51</v>
      </c>
      <c r="H4">
        <v>8</v>
      </c>
      <c r="I4">
        <v>3</v>
      </c>
      <c r="J4">
        <v>8434</v>
      </c>
    </row>
    <row r="5" spans="1:10" x14ac:dyDescent="0.35">
      <c r="A5">
        <v>4</v>
      </c>
      <c r="B5">
        <v>565</v>
      </c>
      <c r="D5" t="s">
        <v>7</v>
      </c>
      <c r="E5">
        <v>5970.89</v>
      </c>
      <c r="G5" t="s">
        <v>52</v>
      </c>
      <c r="H5">
        <v>2</v>
      </c>
      <c r="I5">
        <v>3</v>
      </c>
      <c r="J5">
        <v>9483</v>
      </c>
    </row>
    <row r="6" spans="1:10" x14ac:dyDescent="0.35">
      <c r="A6">
        <v>5</v>
      </c>
      <c r="B6">
        <v>495</v>
      </c>
      <c r="D6" t="s">
        <v>8</v>
      </c>
      <c r="E6">
        <v>6422.7</v>
      </c>
      <c r="G6" t="s">
        <v>53</v>
      </c>
      <c r="H6">
        <v>11</v>
      </c>
      <c r="I6">
        <v>2</v>
      </c>
      <c r="J6">
        <v>8141</v>
      </c>
    </row>
    <row r="7" spans="1:10" x14ac:dyDescent="0.35">
      <c r="A7">
        <v>6</v>
      </c>
      <c r="B7">
        <v>365</v>
      </c>
      <c r="D7" t="s">
        <v>9</v>
      </c>
      <c r="E7">
        <v>4871.76</v>
      </c>
      <c r="G7" t="s">
        <v>54</v>
      </c>
      <c r="H7">
        <v>12</v>
      </c>
      <c r="I7">
        <v>3</v>
      </c>
      <c r="J7">
        <v>6848</v>
      </c>
    </row>
    <row r="8" spans="1:10" x14ac:dyDescent="0.35">
      <c r="A8">
        <v>7</v>
      </c>
      <c r="B8">
        <v>304</v>
      </c>
      <c r="D8" t="s">
        <v>10</v>
      </c>
      <c r="E8">
        <v>6251.08</v>
      </c>
    </row>
    <row r="9" spans="1:10" x14ac:dyDescent="0.35">
      <c r="A9">
        <v>8</v>
      </c>
      <c r="B9">
        <v>384</v>
      </c>
      <c r="D9" t="s">
        <v>11</v>
      </c>
      <c r="E9">
        <v>6062.34</v>
      </c>
    </row>
    <row r="10" spans="1:10" x14ac:dyDescent="0.35">
      <c r="A10">
        <v>9</v>
      </c>
      <c r="B10">
        <v>545</v>
      </c>
      <c r="D10" t="s">
        <v>12</v>
      </c>
      <c r="E10">
        <v>4943.08</v>
      </c>
    </row>
    <row r="11" spans="1:10" x14ac:dyDescent="0.35">
      <c r="A11">
        <v>10</v>
      </c>
      <c r="B11">
        <v>651</v>
      </c>
      <c r="D11" t="s">
        <v>13</v>
      </c>
      <c r="E11">
        <v>7218.79</v>
      </c>
    </row>
    <row r="12" spans="1:10" x14ac:dyDescent="0.35">
      <c r="A12">
        <v>11</v>
      </c>
      <c r="B12">
        <v>608</v>
      </c>
      <c r="D12" t="s">
        <v>14</v>
      </c>
      <c r="E12">
        <v>7213.75</v>
      </c>
    </row>
    <row r="13" spans="1:10" x14ac:dyDescent="0.35">
      <c r="A13">
        <v>12</v>
      </c>
      <c r="B13">
        <v>461</v>
      </c>
      <c r="D13" t="s">
        <v>15</v>
      </c>
      <c r="E13">
        <v>5940.43</v>
      </c>
    </row>
    <row r="14" spans="1:10" x14ac:dyDescent="0.35">
      <c r="D14" t="s">
        <v>16</v>
      </c>
      <c r="E14">
        <v>7969.53</v>
      </c>
    </row>
    <row r="15" spans="1:10" x14ac:dyDescent="0.35">
      <c r="D15" t="s">
        <v>17</v>
      </c>
      <c r="E15">
        <v>7703.47</v>
      </c>
    </row>
    <row r="16" spans="1:10" x14ac:dyDescent="0.35">
      <c r="D16" t="s">
        <v>18</v>
      </c>
      <c r="E16">
        <v>9455.81</v>
      </c>
    </row>
    <row r="17" spans="4:5" x14ac:dyDescent="0.35">
      <c r="D17" t="s">
        <v>19</v>
      </c>
      <c r="E17">
        <v>8645.82</v>
      </c>
    </row>
    <row r="18" spans="4:5" x14ac:dyDescent="0.35">
      <c r="D18" t="s">
        <v>20</v>
      </c>
      <c r="E18">
        <v>5317.76</v>
      </c>
    </row>
    <row r="19" spans="4:5" x14ac:dyDescent="0.35">
      <c r="D19" t="s">
        <v>21</v>
      </c>
      <c r="E19">
        <v>5047.78</v>
      </c>
    </row>
    <row r="20" spans="4:5" x14ac:dyDescent="0.35">
      <c r="D20" t="s">
        <v>22</v>
      </c>
      <c r="E20">
        <v>7478.3</v>
      </c>
    </row>
    <row r="21" spans="4:5" x14ac:dyDescent="0.35">
      <c r="D21" t="s">
        <v>23</v>
      </c>
      <c r="E21">
        <v>8511.74</v>
      </c>
    </row>
    <row r="22" spans="4:5" x14ac:dyDescent="0.35">
      <c r="D22" t="s">
        <v>24</v>
      </c>
      <c r="E22">
        <v>6323.8</v>
      </c>
    </row>
    <row r="23" spans="4:5" x14ac:dyDescent="0.35">
      <c r="D23" t="s">
        <v>25</v>
      </c>
      <c r="E23">
        <v>7838.2</v>
      </c>
    </row>
    <row r="24" spans="4:5" x14ac:dyDescent="0.35">
      <c r="D24" t="s">
        <v>26</v>
      </c>
      <c r="E24">
        <v>6041.53</v>
      </c>
    </row>
    <row r="25" spans="4:5" x14ac:dyDescent="0.35">
      <c r="D25" t="s">
        <v>27</v>
      </c>
      <c r="E25">
        <v>8183.54</v>
      </c>
    </row>
    <row r="26" spans="4:5" x14ac:dyDescent="0.35">
      <c r="D26" t="s">
        <v>28</v>
      </c>
      <c r="E26">
        <v>3848.62</v>
      </c>
    </row>
    <row r="27" spans="4:5" x14ac:dyDescent="0.35">
      <c r="D27" t="s">
        <v>29</v>
      </c>
      <c r="E27">
        <v>7139.66</v>
      </c>
    </row>
    <row r="28" spans="4:5" x14ac:dyDescent="0.35">
      <c r="D28" t="s">
        <v>30</v>
      </c>
      <c r="E28">
        <v>5361.29</v>
      </c>
    </row>
    <row r="29" spans="4:5" x14ac:dyDescent="0.35">
      <c r="D29" t="s">
        <v>31</v>
      </c>
      <c r="E29">
        <v>7626.7</v>
      </c>
    </row>
    <row r="30" spans="4:5" x14ac:dyDescent="0.35">
      <c r="D30" t="s">
        <v>32</v>
      </c>
      <c r="E30">
        <v>4402.08</v>
      </c>
    </row>
    <row r="31" spans="4:5" x14ac:dyDescent="0.35">
      <c r="D31" t="s">
        <v>33</v>
      </c>
      <c r="E31">
        <v>6499.6</v>
      </c>
    </row>
    <row r="32" spans="4:5" x14ac:dyDescent="0.35">
      <c r="D32" t="s">
        <v>34</v>
      </c>
      <c r="E32">
        <v>6095.76</v>
      </c>
    </row>
    <row r="33" spans="4:5" x14ac:dyDescent="0.35">
      <c r="D33" t="s">
        <v>35</v>
      </c>
      <c r="E33">
        <v>5205.8100000000004</v>
      </c>
    </row>
    <row r="34" spans="4:5" x14ac:dyDescent="0.35">
      <c r="D34" t="s">
        <v>36</v>
      </c>
      <c r="E34">
        <v>8221.74</v>
      </c>
    </row>
    <row r="35" spans="4:5" x14ac:dyDescent="0.35">
      <c r="D35" t="s">
        <v>37</v>
      </c>
      <c r="E35">
        <v>8717.35</v>
      </c>
    </row>
    <row r="36" spans="4:5" x14ac:dyDescent="0.35">
      <c r="D36" t="s">
        <v>38</v>
      </c>
      <c r="E36">
        <v>6878.16</v>
      </c>
    </row>
    <row r="37" spans="4:5" x14ac:dyDescent="0.35">
      <c r="D37" t="s">
        <v>39</v>
      </c>
      <c r="E37">
        <v>8099.14</v>
      </c>
    </row>
    <row r="38" spans="4:5" x14ac:dyDescent="0.35">
      <c r="D38" t="s">
        <v>40</v>
      </c>
      <c r="E38">
        <v>5652.89</v>
      </c>
    </row>
    <row r="39" spans="4:5" x14ac:dyDescent="0.35">
      <c r="D39" t="s">
        <v>41</v>
      </c>
      <c r="E39">
        <v>6121.97</v>
      </c>
    </row>
    <row r="40" spans="4:5" x14ac:dyDescent="0.35">
      <c r="D40" t="s">
        <v>42</v>
      </c>
      <c r="E40">
        <v>5864.77</v>
      </c>
    </row>
    <row r="41" spans="4:5" x14ac:dyDescent="0.35">
      <c r="D41" t="s">
        <v>43</v>
      </c>
      <c r="E41">
        <v>8461.7999999999993</v>
      </c>
    </row>
    <row r="42" spans="4:5" x14ac:dyDescent="0.35">
      <c r="D42" t="s">
        <v>44</v>
      </c>
      <c r="E42">
        <v>5660.3</v>
      </c>
    </row>
    <row r="43" spans="4:5" x14ac:dyDescent="0.35">
      <c r="D43" t="s">
        <v>45</v>
      </c>
      <c r="E43">
        <v>7371.74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01A80-5438-42D3-8885-70FE4F27AD12}">
  <dimension ref="B2:D9"/>
  <sheetViews>
    <sheetView tabSelected="1" workbookViewId="0">
      <selection activeCell="E12" sqref="E12"/>
    </sheetView>
  </sheetViews>
  <sheetFormatPr defaultRowHeight="14.5" x14ac:dyDescent="0.35"/>
  <cols>
    <col min="2" max="2" width="17.7265625" bestFit="1" customWidth="1"/>
    <col min="3" max="3" width="18.90625" bestFit="1" customWidth="1"/>
  </cols>
  <sheetData>
    <row r="2" spans="2:4" x14ac:dyDescent="0.35">
      <c r="B2" t="s">
        <v>63</v>
      </c>
      <c r="C2" t="s">
        <v>64</v>
      </c>
      <c r="D2" t="s">
        <v>65</v>
      </c>
    </row>
    <row r="3" spans="2:4" x14ac:dyDescent="0.35">
      <c r="B3" t="s">
        <v>49</v>
      </c>
      <c r="C3" t="s">
        <v>66</v>
      </c>
      <c r="D3" s="14">
        <f>7679*2</f>
        <v>15358</v>
      </c>
    </row>
    <row r="4" spans="2:4" x14ac:dyDescent="0.35">
      <c r="B4" t="s">
        <v>50</v>
      </c>
      <c r="C4" t="s">
        <v>67</v>
      </c>
      <c r="D4" s="14">
        <f>7005*3</f>
        <v>21015</v>
      </c>
    </row>
    <row r="5" spans="2:4" x14ac:dyDescent="0.35">
      <c r="B5" t="s">
        <v>51</v>
      </c>
      <c r="C5" t="s">
        <v>68</v>
      </c>
      <c r="D5" s="14">
        <f>8434*3</f>
        <v>25302</v>
      </c>
    </row>
    <row r="6" spans="2:4" x14ac:dyDescent="0.35">
      <c r="B6" t="s">
        <v>52</v>
      </c>
      <c r="C6" t="s">
        <v>69</v>
      </c>
      <c r="D6" s="14">
        <f>9483*3</f>
        <v>28449</v>
      </c>
    </row>
    <row r="7" spans="2:4" x14ac:dyDescent="0.35">
      <c r="B7" t="s">
        <v>53</v>
      </c>
      <c r="C7" t="s">
        <v>70</v>
      </c>
      <c r="D7" s="14">
        <f>8141*2</f>
        <v>16282</v>
      </c>
    </row>
    <row r="8" spans="2:4" x14ac:dyDescent="0.35">
      <c r="B8" t="s">
        <v>54</v>
      </c>
      <c r="C8" t="s">
        <v>71</v>
      </c>
      <c r="D8" s="14">
        <f>6848*3</f>
        <v>20544</v>
      </c>
    </row>
    <row r="9" spans="2:4" x14ac:dyDescent="0.35">
      <c r="B9" t="s">
        <v>62</v>
      </c>
      <c r="C9">
        <v>0</v>
      </c>
      <c r="D9" s="14">
        <f>6614.99761904762*12</f>
        <v>79379.971428571444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998187-9C13-49ED-BC9F-40E41F18E5A7}">
  <dimension ref="B3:P14"/>
  <sheetViews>
    <sheetView zoomScale="71" zoomScaleNormal="80" workbookViewId="0">
      <selection activeCell="P6" sqref="P6:P12"/>
    </sheetView>
  </sheetViews>
  <sheetFormatPr defaultRowHeight="14.5" x14ac:dyDescent="0.35"/>
  <cols>
    <col min="2" max="2" width="17.7265625" bestFit="1" customWidth="1"/>
    <col min="15" max="15" width="16.453125" bestFit="1" customWidth="1"/>
    <col min="16" max="16" width="15.7265625" bestFit="1" customWidth="1"/>
  </cols>
  <sheetData>
    <row r="3" spans="2:16" ht="15" thickBot="1" x14ac:dyDescent="0.4"/>
    <row r="4" spans="2:16" ht="14.5" customHeight="1" x14ac:dyDescent="0.35">
      <c r="B4" s="1"/>
      <c r="C4" s="17" t="s">
        <v>55</v>
      </c>
      <c r="D4" s="18"/>
      <c r="E4" s="18"/>
      <c r="F4" s="18"/>
      <c r="G4" s="18"/>
      <c r="H4" s="18"/>
      <c r="I4" s="18"/>
      <c r="J4" s="18"/>
      <c r="K4" s="18"/>
      <c r="L4" s="18"/>
      <c r="M4" s="18"/>
      <c r="N4" s="19"/>
      <c r="O4" s="20" t="s">
        <v>56</v>
      </c>
      <c r="P4" s="22" t="s">
        <v>57</v>
      </c>
    </row>
    <row r="5" spans="2:16" ht="15" thickBot="1" x14ac:dyDescent="0.4">
      <c r="B5" s="2" t="s">
        <v>63</v>
      </c>
      <c r="C5" s="3">
        <v>1</v>
      </c>
      <c r="D5" s="4">
        <v>2</v>
      </c>
      <c r="E5" s="4">
        <v>3</v>
      </c>
      <c r="F5" s="4">
        <v>4</v>
      </c>
      <c r="G5" s="4">
        <v>5</v>
      </c>
      <c r="H5" s="4">
        <v>6</v>
      </c>
      <c r="I5" s="4">
        <v>7</v>
      </c>
      <c r="J5" s="4">
        <v>8</v>
      </c>
      <c r="K5" s="4">
        <v>9</v>
      </c>
      <c r="L5" s="4">
        <v>10</v>
      </c>
      <c r="M5" s="4">
        <v>11</v>
      </c>
      <c r="N5" s="5">
        <v>12</v>
      </c>
      <c r="O5" s="21"/>
      <c r="P5" s="23"/>
    </row>
    <row r="6" spans="2:16" x14ac:dyDescent="0.35">
      <c r="B6" t="s">
        <v>49</v>
      </c>
      <c r="C6" s="6">
        <v>0</v>
      </c>
      <c r="D6" s="6">
        <v>0</v>
      </c>
      <c r="E6" s="6">
        <v>0</v>
      </c>
      <c r="F6" s="6">
        <v>0</v>
      </c>
      <c r="G6" s="15">
        <v>1</v>
      </c>
      <c r="H6" s="15">
        <v>1</v>
      </c>
      <c r="I6" s="7">
        <v>0</v>
      </c>
      <c r="J6" s="7">
        <v>0</v>
      </c>
      <c r="K6" s="7">
        <v>0</v>
      </c>
      <c r="L6" s="7">
        <v>0</v>
      </c>
      <c r="M6" s="7">
        <v>0</v>
      </c>
      <c r="N6" s="7">
        <v>0</v>
      </c>
      <c r="O6" s="8">
        <v>0</v>
      </c>
      <c r="P6" s="14">
        <f>7679*2</f>
        <v>15358</v>
      </c>
    </row>
    <row r="7" spans="2:16" x14ac:dyDescent="0.35">
      <c r="B7" t="s">
        <v>50</v>
      </c>
      <c r="C7" s="6">
        <v>0</v>
      </c>
      <c r="D7" s="6">
        <v>0</v>
      </c>
      <c r="E7" s="6">
        <v>0</v>
      </c>
      <c r="F7" s="6">
        <v>0</v>
      </c>
      <c r="G7" s="15">
        <v>1</v>
      </c>
      <c r="H7" s="15">
        <v>1</v>
      </c>
      <c r="I7" s="15">
        <v>1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8">
        <v>0</v>
      </c>
      <c r="P7" s="14">
        <f>7005*3</f>
        <v>21015</v>
      </c>
    </row>
    <row r="8" spans="2:16" x14ac:dyDescent="0.35">
      <c r="B8" t="s">
        <v>51</v>
      </c>
      <c r="C8" s="6">
        <v>0</v>
      </c>
      <c r="D8" s="6">
        <v>0</v>
      </c>
      <c r="E8" s="6">
        <v>0</v>
      </c>
      <c r="F8" s="6">
        <v>0</v>
      </c>
      <c r="G8" s="7">
        <v>0</v>
      </c>
      <c r="H8" s="7">
        <v>0</v>
      </c>
      <c r="I8" s="7">
        <v>0</v>
      </c>
      <c r="J8" s="15">
        <v>1</v>
      </c>
      <c r="K8" s="15">
        <v>1</v>
      </c>
      <c r="L8" s="15">
        <v>1</v>
      </c>
      <c r="M8" s="7">
        <v>0</v>
      </c>
      <c r="N8" s="7">
        <v>0</v>
      </c>
      <c r="O8" s="8">
        <v>156</v>
      </c>
      <c r="P8" s="14">
        <f>8434*3</f>
        <v>25302</v>
      </c>
    </row>
    <row r="9" spans="2:16" x14ac:dyDescent="0.35">
      <c r="B9" t="s">
        <v>52</v>
      </c>
      <c r="C9" s="6">
        <v>0</v>
      </c>
      <c r="D9" s="15">
        <v>1</v>
      </c>
      <c r="E9" s="15">
        <v>1</v>
      </c>
      <c r="F9" s="15">
        <v>1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8">
        <v>70</v>
      </c>
      <c r="P9" s="14">
        <f>9483*3</f>
        <v>28449</v>
      </c>
    </row>
    <row r="10" spans="2:16" x14ac:dyDescent="0.35">
      <c r="B10" t="s">
        <v>53</v>
      </c>
      <c r="C10" s="6">
        <v>0</v>
      </c>
      <c r="D10" s="7">
        <v>0</v>
      </c>
      <c r="E10" s="7">
        <v>0</v>
      </c>
      <c r="F10" s="7">
        <v>0</v>
      </c>
      <c r="G10" s="7">
        <v>0</v>
      </c>
      <c r="H10" s="7">
        <v>0</v>
      </c>
      <c r="I10" s="7">
        <v>0</v>
      </c>
      <c r="J10" s="7">
        <v>0</v>
      </c>
      <c r="K10" s="7">
        <v>0</v>
      </c>
      <c r="L10" s="7">
        <v>0</v>
      </c>
      <c r="M10" s="16">
        <v>1</v>
      </c>
      <c r="N10" s="16">
        <v>1</v>
      </c>
      <c r="O10" s="8">
        <v>113</v>
      </c>
      <c r="P10" s="14">
        <f>8141*2</f>
        <v>16282</v>
      </c>
    </row>
    <row r="11" spans="2:16" x14ac:dyDescent="0.35">
      <c r="B11" t="s">
        <v>54</v>
      </c>
      <c r="C11" s="16">
        <v>1</v>
      </c>
      <c r="D11" s="16">
        <v>1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16">
        <v>1</v>
      </c>
      <c r="O11" s="8">
        <v>0</v>
      </c>
      <c r="P11" s="14">
        <f>6848*3</f>
        <v>20544</v>
      </c>
    </row>
    <row r="12" spans="2:16" x14ac:dyDescent="0.35">
      <c r="B12" t="s">
        <v>62</v>
      </c>
      <c r="C12" s="16">
        <v>1</v>
      </c>
      <c r="D12" s="16">
        <v>1</v>
      </c>
      <c r="E12" s="16">
        <v>1</v>
      </c>
      <c r="F12" s="16">
        <v>1</v>
      </c>
      <c r="G12" s="16">
        <v>1</v>
      </c>
      <c r="H12" s="16">
        <v>1</v>
      </c>
      <c r="I12" s="16">
        <v>1</v>
      </c>
      <c r="J12" s="16">
        <v>1</v>
      </c>
      <c r="K12" s="16">
        <v>1</v>
      </c>
      <c r="L12" s="16">
        <v>1</v>
      </c>
      <c r="M12" s="16">
        <v>1</v>
      </c>
      <c r="N12" s="16">
        <v>1</v>
      </c>
      <c r="O12" s="8">
        <v>495</v>
      </c>
      <c r="P12" s="14">
        <f>6614.99761904762*12</f>
        <v>79379.971428571444</v>
      </c>
    </row>
    <row r="13" spans="2:16" ht="15" thickBot="1" x14ac:dyDescent="0.4">
      <c r="B13" s="9" t="s">
        <v>58</v>
      </c>
      <c r="C13" s="10">
        <f>SUMPRODUCT(C6:C12,$O$6:$O$12)</f>
        <v>495</v>
      </c>
      <c r="D13" s="10">
        <f t="shared" ref="D13:N13" si="0">SUMPRODUCT(D6:D12,$O$6:$O$12)</f>
        <v>565</v>
      </c>
      <c r="E13" s="10">
        <f t="shared" si="0"/>
        <v>565</v>
      </c>
      <c r="F13" s="10">
        <f t="shared" si="0"/>
        <v>565</v>
      </c>
      <c r="G13" s="10">
        <f t="shared" si="0"/>
        <v>495</v>
      </c>
      <c r="H13" s="10">
        <f t="shared" si="0"/>
        <v>495</v>
      </c>
      <c r="I13" s="10">
        <f t="shared" si="0"/>
        <v>495</v>
      </c>
      <c r="J13" s="10">
        <f t="shared" si="0"/>
        <v>651</v>
      </c>
      <c r="K13" s="10">
        <f t="shared" si="0"/>
        <v>651</v>
      </c>
      <c r="L13" s="10">
        <f t="shared" si="0"/>
        <v>651</v>
      </c>
      <c r="M13" s="10">
        <f t="shared" si="0"/>
        <v>608</v>
      </c>
      <c r="N13" s="10">
        <f t="shared" si="0"/>
        <v>608</v>
      </c>
    </row>
    <row r="14" spans="2:16" ht="15" thickBot="1" x14ac:dyDescent="0.4">
      <c r="B14" s="11" t="s">
        <v>59</v>
      </c>
      <c r="C14" s="3">
        <v>267</v>
      </c>
      <c r="D14" s="4">
        <v>366</v>
      </c>
      <c r="E14" s="4">
        <v>505</v>
      </c>
      <c r="F14" s="4">
        <v>565</v>
      </c>
      <c r="G14" s="4">
        <v>495</v>
      </c>
      <c r="H14" s="4">
        <v>365</v>
      </c>
      <c r="I14" s="4">
        <v>304</v>
      </c>
      <c r="J14" s="4">
        <v>384</v>
      </c>
      <c r="K14" s="4">
        <v>545</v>
      </c>
      <c r="L14" s="4">
        <v>651</v>
      </c>
      <c r="M14" s="4">
        <v>608</v>
      </c>
      <c r="N14" s="5">
        <v>461</v>
      </c>
      <c r="O14" s="12" t="s">
        <v>60</v>
      </c>
      <c r="P14" s="13">
        <f>SUMPRODUCT(O6:O12,P6:P12)</f>
        <v>47071493.857142866</v>
      </c>
    </row>
  </sheetData>
  <mergeCells count="3">
    <mergeCell ref="C4:N4"/>
    <mergeCell ref="O4:O5"/>
    <mergeCell ref="P4:P5"/>
  </mergeCells>
  <conditionalFormatting sqref="C6:C10">
    <cfRule type="cellIs" dxfId="10" priority="6" operator="equal">
      <formula>0</formula>
    </cfRule>
  </conditionalFormatting>
  <conditionalFormatting sqref="C6:N12">
    <cfRule type="cellIs" dxfId="9" priority="10" operator="equal">
      <formula>1</formula>
    </cfRule>
    <cfRule type="cellIs" dxfId="8" priority="11" operator="equal">
      <formula>1</formula>
    </cfRule>
    <cfRule type="colorScale" priority="14">
      <colorScale>
        <cfvo type="min"/>
        <cfvo type="max"/>
        <color rgb="FFFFEF9C"/>
        <color rgb="FF63BE7B"/>
      </colorScale>
    </cfRule>
  </conditionalFormatting>
  <conditionalFormatting sqref="D6:F8 C6:C10">
    <cfRule type="cellIs" dxfId="7" priority="9" operator="equal">
      <formula>0</formula>
    </cfRule>
  </conditionalFormatting>
  <conditionalFormatting sqref="D6:F8">
    <cfRule type="cellIs" dxfId="6" priority="5" operator="equal">
      <formula>0</formula>
    </cfRule>
  </conditionalFormatting>
  <conditionalFormatting sqref="D9:F9">
    <cfRule type="cellIs" dxfId="5" priority="2" operator="equal">
      <formula>1</formula>
    </cfRule>
  </conditionalFormatting>
  <conditionalFormatting sqref="G6:H7 I7">
    <cfRule type="cellIs" dxfId="4" priority="4" operator="equal">
      <formula>1</formula>
    </cfRule>
  </conditionalFormatting>
  <conditionalFormatting sqref="G8:I9 J9:L9 D10:L10 E11:M11">
    <cfRule type="cellIs" dxfId="3" priority="8" operator="equal">
      <formula>0</formula>
    </cfRule>
  </conditionalFormatting>
  <conditionalFormatting sqref="I6:L6 M6:N9 J7:L7">
    <cfRule type="cellIs" dxfId="2" priority="7" operator="equal">
      <formula>0</formula>
    </cfRule>
  </conditionalFormatting>
  <conditionalFormatting sqref="J8:L8">
    <cfRule type="cellIs" dxfId="1" priority="3" operator="equal">
      <formula>1</formula>
    </cfRule>
  </conditionalFormatting>
  <conditionalFormatting sqref="M10 N10:N11 C11:D12 E12:N12">
    <cfRule type="cellIs" dxfId="0" priority="1" operator="equal">
      <formula>1</formula>
    </cfRule>
  </conditionalFormatting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0C45F8C38E2F7449B81D360E8EC28DF" ma:contentTypeVersion="14" ma:contentTypeDescription="Create a new document." ma:contentTypeScope="" ma:versionID="27debc36873ec148a9f4fc7174f4a13e">
  <xsd:schema xmlns:xsd="http://www.w3.org/2001/XMLSchema" xmlns:xs="http://www.w3.org/2001/XMLSchema" xmlns:p="http://schemas.microsoft.com/office/2006/metadata/properties" xmlns:ns3="580d1518-9a38-4efc-9256-c61c5ecdae13" xmlns:ns4="62775453-3938-4fc9-879a-0b66d953608e" targetNamespace="http://schemas.microsoft.com/office/2006/metadata/properties" ma:root="true" ma:fieldsID="c29a525084485e219bf7f171ab5ec2e6" ns3:_="" ns4:_="">
    <xsd:import namespace="580d1518-9a38-4efc-9256-c61c5ecdae13"/>
    <xsd:import namespace="62775453-3938-4fc9-879a-0b66d953608e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_activity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ObjectDetectorVersions" minOccurs="0"/>
                <xsd:element ref="ns4:MediaServiceDateTaken" minOccurs="0"/>
                <xsd:element ref="ns4:MediaServiceSystemTags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80d1518-9a38-4efc-9256-c61c5ecdae1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2775453-3938-4fc9-879a-0b66d953608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20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2775453-3938-4fc9-879a-0b66d953608e" xsi:nil="true"/>
  </documentManagement>
</p:properties>
</file>

<file path=customXml/itemProps1.xml><?xml version="1.0" encoding="utf-8"?>
<ds:datastoreItem xmlns:ds="http://schemas.openxmlformats.org/officeDocument/2006/customXml" ds:itemID="{BD5A985E-5F15-4647-8B34-22B3C78E211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F6C3739-E8FD-406F-8083-A7ED609AFEB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80d1518-9a38-4efc-9256-c61c5ecdae13"/>
    <ds:schemaRef ds:uri="62775453-3938-4fc9-879a-0b66d953608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63F1CD7-EF57-4406-9C57-8EF96BEAF4A2}">
  <ds:schemaRefs>
    <ds:schemaRef ds:uri="580d1518-9a38-4efc-9256-c61c5ecdae13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62775453-3938-4fc9-879a-0b66d953608e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Stipulation 2</vt:lpstr>
      <vt:lpstr>Stipulation 1</vt:lpstr>
      <vt:lpstr>Data</vt:lpstr>
      <vt:lpstr>Table</vt:lpstr>
      <vt:lpstr>Model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Addison Morin</cp:lastModifiedBy>
  <dcterms:created xsi:type="dcterms:W3CDTF">2025-04-02T22:24:38Z</dcterms:created>
  <dcterms:modified xsi:type="dcterms:W3CDTF">2025-04-03T00:40:10Z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0x010100C0C45F8C38E2F7449B81D360E8EC28DF</vt:lpwstr>
  </property>
</Properties>
</file>