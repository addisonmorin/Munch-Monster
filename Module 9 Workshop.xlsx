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esktop\Module 9\"/>
    </mc:Choice>
  </mc:AlternateContent>
  <xr:revisionPtr revIDLastSave="0" documentId="8_{6638B6C9-3E2F-4DDF-B2AE-541405FCA567}" xr6:coauthVersionLast="47" xr6:coauthVersionMax="47" xr10:uidLastSave="{00000000-0000-0000-0000-000000000000}"/>
  <bookViews>
    <workbookView xWindow="-110" yWindow="-110" windowWidth="19420" windowHeight="10300" firstSheet="1" activeTab="2" xr2:uid="{4C4D375A-4B04-4547-A0F8-2C4382EE1BB6}"/>
  </bookViews>
  <sheets>
    <sheet name="Model (2)" sheetId="3" r:id="rId1"/>
    <sheet name="Data" sheetId="1" r:id="rId2"/>
    <sheet name="Stipulations" sheetId="2" r:id="rId3"/>
  </sheets>
  <definedNames>
    <definedName name="solver_adj" localSheetId="0" hidden="1">'Model (2)'!$C$39:$H$42,'Model (2)'!$J$39:$J$42</definedName>
    <definedName name="solver_adj" localSheetId="2" hidden="1">Stipulations!$C$39:$H$42,Stipulations!$J$39:$J$42</definedName>
    <definedName name="solver_cvg" localSheetId="0" hidden="1">0.0001</definedName>
    <definedName name="solver_cvg" localSheetId="2" hidden="1">0.0001</definedName>
    <definedName name="solver_drv" localSheetId="0" hidden="1">2</definedName>
    <definedName name="solver_drv" localSheetId="2" hidden="1">2</definedName>
    <definedName name="solver_eng" localSheetId="0" hidden="1">2</definedName>
    <definedName name="solver_eng" localSheetId="2" hidden="1">2</definedName>
    <definedName name="solver_est" localSheetId="0" hidden="1">1</definedName>
    <definedName name="solver_est" localSheetId="2" hidden="1">1</definedName>
    <definedName name="solver_itr" localSheetId="0" hidden="1">2147483647</definedName>
    <definedName name="solver_itr" localSheetId="2" hidden="1">2147483647</definedName>
    <definedName name="solver_lhs1" localSheetId="0" hidden="1">'Model (2)'!$C$39:$H$42</definedName>
    <definedName name="solver_lhs1" localSheetId="2" hidden="1">Stipulations!$C$39:$H$42</definedName>
    <definedName name="solver_lhs2" localSheetId="0" hidden="1">'Model (2)'!$C$43:$H$43</definedName>
    <definedName name="solver_lhs2" localSheetId="2" hidden="1">Stipulations!$C$43:$H$43</definedName>
    <definedName name="solver_lhs3" localSheetId="0" hidden="1">'Model (2)'!$J$39:$J$42</definedName>
    <definedName name="solver_lhs3" localSheetId="2" hidden="1">Stipulations!$J$39:$J$42</definedName>
    <definedName name="solver_lhs4" localSheetId="0" hidden="1">'Model (2)'!$J$47</definedName>
    <definedName name="solver_lhs4" localSheetId="2" hidden="1">Stipulations!$J$47</definedName>
    <definedName name="solver_lhs5" localSheetId="0" hidden="1">'Model (2)'!$K$39:$K$42</definedName>
    <definedName name="solver_lhs5" localSheetId="2" hidden="1">Stipulations!$K$39:$K$42</definedName>
    <definedName name="solver_mip" localSheetId="0" hidden="1">2147483647</definedName>
    <definedName name="solver_mip" localSheetId="2" hidden="1">2147483647</definedName>
    <definedName name="solver_mni" localSheetId="0" hidden="1">30</definedName>
    <definedName name="solver_mni" localSheetId="2" hidden="1">30</definedName>
    <definedName name="solver_mrt" localSheetId="0" hidden="1">0.075</definedName>
    <definedName name="solver_mrt" localSheetId="2" hidden="1">0.075</definedName>
    <definedName name="solver_msl" localSheetId="0" hidden="1">2</definedName>
    <definedName name="solver_msl" localSheetId="2" hidden="1">2</definedName>
    <definedName name="solver_neg" localSheetId="0" hidden="1">1</definedName>
    <definedName name="solver_neg" localSheetId="2" hidden="1">1</definedName>
    <definedName name="solver_nod" localSheetId="0" hidden="1">2147483647</definedName>
    <definedName name="solver_nod" localSheetId="2" hidden="1">2147483647</definedName>
    <definedName name="solver_num" localSheetId="0" hidden="1">5</definedName>
    <definedName name="solver_num" localSheetId="2" hidden="1">5</definedName>
    <definedName name="solver_nwt" localSheetId="0" hidden="1">1</definedName>
    <definedName name="solver_nwt" localSheetId="2" hidden="1">1</definedName>
    <definedName name="solver_opt" localSheetId="0" hidden="1">'Model (2)'!$C$46</definedName>
    <definedName name="solver_opt" localSheetId="2" hidden="1">Stipulations!$C$46</definedName>
    <definedName name="solver_pre" localSheetId="0" hidden="1">0.000001</definedName>
    <definedName name="solver_pre" localSheetId="2" hidden="1">0.000001</definedName>
    <definedName name="solver_rbv" localSheetId="0" hidden="1">2</definedName>
    <definedName name="solver_rbv" localSheetId="2" hidden="1">2</definedName>
    <definedName name="solver_rel1" localSheetId="0" hidden="1">3</definedName>
    <definedName name="solver_rel1" localSheetId="2" hidden="1">3</definedName>
    <definedName name="solver_rel2" localSheetId="0" hidden="1">3</definedName>
    <definedName name="solver_rel2" localSheetId="2" hidden="1">3</definedName>
    <definedName name="solver_rel3" localSheetId="0" hidden="1">5</definedName>
    <definedName name="solver_rel3" localSheetId="2" hidden="1">5</definedName>
    <definedName name="solver_rel4" localSheetId="0" hidden="1">1</definedName>
    <definedName name="solver_rel4" localSheetId="2" hidden="1">1</definedName>
    <definedName name="solver_rel5" localSheetId="0" hidden="1">1</definedName>
    <definedName name="solver_rel5" localSheetId="2" hidden="1">1</definedName>
    <definedName name="solver_rhs1" localSheetId="0" hidden="1">0</definedName>
    <definedName name="solver_rhs1" localSheetId="2" hidden="1">0</definedName>
    <definedName name="solver_rhs2" localSheetId="0" hidden="1">'Model (2)'!$C$44:$H$44</definedName>
    <definedName name="solver_rhs2" localSheetId="2" hidden="1">Stipulations!$C$44:$H$44</definedName>
    <definedName name="solver_rhs3" localSheetId="0" hidden="1">"binary"</definedName>
    <definedName name="solver_rhs3" localSheetId="2" hidden="1">"binary"</definedName>
    <definedName name="solver_rhs4" localSheetId="0" hidden="1">2</definedName>
    <definedName name="solver_rhs4" localSheetId="2" hidden="1">2</definedName>
    <definedName name="solver_rhs5" localSheetId="0" hidden="1">0</definedName>
    <definedName name="solver_rhs5" localSheetId="2" hidden="1">0</definedName>
    <definedName name="solver_rlx" localSheetId="0" hidden="1">2</definedName>
    <definedName name="solver_rlx" localSheetId="2" hidden="1">2</definedName>
    <definedName name="solver_rsd" localSheetId="0" hidden="1">0</definedName>
    <definedName name="solver_rsd" localSheetId="2" hidden="1">0</definedName>
    <definedName name="solver_scl" localSheetId="0" hidden="1">2</definedName>
    <definedName name="solver_scl" localSheetId="2" hidden="1">2</definedName>
    <definedName name="solver_sho" localSheetId="0" hidden="1">2</definedName>
    <definedName name="solver_sho" localSheetId="2" hidden="1">2</definedName>
    <definedName name="solver_ssz" localSheetId="0" hidden="1">100</definedName>
    <definedName name="solver_ssz" localSheetId="2" hidden="1">100</definedName>
    <definedName name="solver_tim" localSheetId="0" hidden="1">2147483647</definedName>
    <definedName name="solver_tim" localSheetId="2" hidden="1">2147483647</definedName>
    <definedName name="solver_tol" localSheetId="0" hidden="1">0</definedName>
    <definedName name="solver_tol" localSheetId="2" hidden="1">0</definedName>
    <definedName name="solver_typ" localSheetId="0" hidden="1">2</definedName>
    <definedName name="solver_typ" localSheetId="2" hidden="1">2</definedName>
    <definedName name="solver_val" localSheetId="0" hidden="1">0</definedName>
    <definedName name="solver_val" localSheetId="2" hidden="1">0</definedName>
    <definedName name="solver_ver" localSheetId="0" hidden="1">3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6" i="2"/>
  <c r="H7" i="2"/>
  <c r="H8" i="2"/>
  <c r="H9" i="2"/>
  <c r="H10" i="2"/>
  <c r="H11" i="2"/>
  <c r="H12" i="2"/>
  <c r="E32" i="2" s="1"/>
  <c r="H13" i="2"/>
  <c r="H14" i="2"/>
  <c r="H15" i="2"/>
  <c r="H16" i="2"/>
  <c r="H17" i="2"/>
  <c r="H18" i="2"/>
  <c r="H19" i="2"/>
  <c r="H20" i="2"/>
  <c r="G33" i="2" s="1"/>
  <c r="H21" i="2"/>
  <c r="H22" i="2"/>
  <c r="H23" i="2"/>
  <c r="H24" i="2"/>
  <c r="H25" i="2"/>
  <c r="H26" i="2"/>
  <c r="H27" i="2"/>
  <c r="H4" i="2"/>
  <c r="C31" i="2" s="1"/>
  <c r="J47" i="3"/>
  <c r="I44" i="3"/>
  <c r="K41" i="3" s="1"/>
  <c r="H43" i="3"/>
  <c r="G43" i="3"/>
  <c r="F43" i="3"/>
  <c r="E43" i="3"/>
  <c r="D43" i="3"/>
  <c r="C43" i="3"/>
  <c r="L42" i="3"/>
  <c r="I42" i="3"/>
  <c r="K42" i="3" s="1"/>
  <c r="L41" i="3"/>
  <c r="I41" i="3"/>
  <c r="L40" i="3"/>
  <c r="I40" i="3"/>
  <c r="K40" i="3" s="1"/>
  <c r="L39" i="3"/>
  <c r="K39" i="3"/>
  <c r="C34" i="3"/>
  <c r="H33" i="3"/>
  <c r="H27" i="3"/>
  <c r="H34" i="3" s="1"/>
  <c r="H26" i="3"/>
  <c r="G34" i="3" s="1"/>
  <c r="H25" i="3"/>
  <c r="F34" i="3" s="1"/>
  <c r="H24" i="3"/>
  <c r="E34" i="3" s="1"/>
  <c r="H23" i="3"/>
  <c r="D34" i="3" s="1"/>
  <c r="I35" i="3" s="1"/>
  <c r="H22" i="3"/>
  <c r="H21" i="3"/>
  <c r="H20" i="3"/>
  <c r="G33" i="3" s="1"/>
  <c r="H19" i="3"/>
  <c r="F33" i="3" s="1"/>
  <c r="H18" i="3"/>
  <c r="E33" i="3" s="1"/>
  <c r="H17" i="3"/>
  <c r="D33" i="3" s="1"/>
  <c r="H16" i="3"/>
  <c r="C33" i="3" s="1"/>
  <c r="I34" i="3" s="1"/>
  <c r="H15" i="3"/>
  <c r="H32" i="3" s="1"/>
  <c r="H14" i="3"/>
  <c r="G32" i="3" s="1"/>
  <c r="H13" i="3"/>
  <c r="F32" i="3" s="1"/>
  <c r="H12" i="3"/>
  <c r="E32" i="3" s="1"/>
  <c r="H11" i="3"/>
  <c r="D32" i="3" s="1"/>
  <c r="H10" i="3"/>
  <c r="C32" i="3" s="1"/>
  <c r="H9" i="3"/>
  <c r="H31" i="3" s="1"/>
  <c r="H8" i="3"/>
  <c r="G31" i="3" s="1"/>
  <c r="H7" i="3"/>
  <c r="F31" i="3" s="1"/>
  <c r="H6" i="3"/>
  <c r="E31" i="3" s="1"/>
  <c r="H5" i="3"/>
  <c r="D31" i="3" s="1"/>
  <c r="H4" i="3"/>
  <c r="C31" i="3" s="1"/>
  <c r="L39" i="2"/>
  <c r="J47" i="2"/>
  <c r="D43" i="2"/>
  <c r="E43" i="2"/>
  <c r="F43" i="2"/>
  <c r="G43" i="2"/>
  <c r="H43" i="2"/>
  <c r="C43" i="2"/>
  <c r="L40" i="2"/>
  <c r="L41" i="2"/>
  <c r="L42" i="2"/>
  <c r="I44" i="2"/>
  <c r="K39" i="2" s="1"/>
  <c r="I42" i="2"/>
  <c r="I41" i="2"/>
  <c r="I40" i="2"/>
  <c r="D31" i="2"/>
  <c r="E31" i="2"/>
  <c r="F31" i="2"/>
  <c r="G31" i="2"/>
  <c r="H31" i="2"/>
  <c r="C32" i="2"/>
  <c r="D32" i="2"/>
  <c r="F32" i="2"/>
  <c r="G32" i="2"/>
  <c r="H32" i="2"/>
  <c r="C33" i="2"/>
  <c r="D33" i="2"/>
  <c r="E33" i="2"/>
  <c r="F33" i="2"/>
  <c r="H33" i="2"/>
  <c r="C34" i="2"/>
  <c r="D34" i="2"/>
  <c r="E34" i="2"/>
  <c r="F34" i="2"/>
  <c r="G34" i="2"/>
  <c r="H34" i="2"/>
  <c r="I34" i="2" l="1"/>
  <c r="I35" i="2"/>
  <c r="I33" i="2"/>
  <c r="I32" i="2"/>
  <c r="C46" i="2"/>
  <c r="I33" i="3"/>
  <c r="I32" i="3"/>
  <c r="C46" i="3"/>
  <c r="K40" i="2"/>
  <c r="K41" i="2"/>
  <c r="K42" i="2"/>
</calcChain>
</file>

<file path=xl/sharedStrings.xml><?xml version="1.0" encoding="utf-8"?>
<sst xmlns="http://schemas.openxmlformats.org/spreadsheetml/2006/main" count="62" uniqueCount="39">
  <si>
    <t>warehouse</t>
  </si>
  <si>
    <t>name</t>
  </si>
  <si>
    <t>set_up_cost</t>
  </si>
  <si>
    <t>latitude</t>
  </si>
  <si>
    <t>longitude</t>
  </si>
  <si>
    <t>Chocolate River Rapids</t>
  </si>
  <si>
    <t>Gingerbread Glades</t>
  </si>
  <si>
    <t>Coconut Cream Cove</t>
  </si>
  <si>
    <t>Cinnamon Swamp</t>
  </si>
  <si>
    <t>max_dcs</t>
  </si>
  <si>
    <t>cost_per_unit_distance</t>
  </si>
  <si>
    <t>method_to_calculate_distance</t>
  </si>
  <si>
    <t>manhattan</t>
  </si>
  <si>
    <t>distribution_center</t>
  </si>
  <si>
    <t>demand</t>
  </si>
  <si>
    <t>Popping Candy Plains</t>
  </si>
  <si>
    <t>Sugar Swirl Spires</t>
  </si>
  <si>
    <t>Peppermint Peninsula</t>
  </si>
  <si>
    <t>Peanut Butter Parlor</t>
  </si>
  <si>
    <t>Whipped Wonderland</t>
  </si>
  <si>
    <t>Licorice Lanes</t>
  </si>
  <si>
    <t>WH</t>
  </si>
  <si>
    <t>DC</t>
  </si>
  <si>
    <t>WH Lat</t>
  </si>
  <si>
    <t>WH Long</t>
  </si>
  <si>
    <t>DC Lat</t>
  </si>
  <si>
    <t>DC Long</t>
  </si>
  <si>
    <t>Manhattan</t>
  </si>
  <si>
    <t>WH v DC &gt;</t>
  </si>
  <si>
    <t>Shipped</t>
  </si>
  <si>
    <t>Required</t>
  </si>
  <si>
    <t>WH Sum Sent</t>
  </si>
  <si>
    <t>Set up Costs</t>
  </si>
  <si>
    <t>Actual</t>
  </si>
  <si>
    <t>Possible</t>
  </si>
  <si>
    <t>Linking Constraints</t>
  </si>
  <si>
    <t>Binary Viaribles</t>
  </si>
  <si>
    <t>Min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</si>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</sst>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  <numFmt numFmtId="170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2" tint="-0.89999084444715716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6" fillId="0" borderId="0" xfId="0" applyFont="1"/>
    <xf numFmtId="165" fontId="0" fillId="0" borderId="0" xfId="42" applyNumberFormat="1" applyFont="1"/>
    <xf numFmtId="0" fontId="18" fillId="0" borderId="0" xfId="0" applyFont="1"/>
    <xf numFmtId="0" fontId="11" fillId="6" borderId="4" xfId="11"/>
    <xf numFmtId="17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3863-7229-4EAE-AFEF-3B6D77985770}">
  <dimension ref="B3:M47"/>
  <sheetViews>
    <sheetView topLeftCell="A24" zoomScale="56" zoomScaleNormal="50" workbookViewId="0">
      <selection activeCell="J51" sqref="J51"/>
    </sheetView>
  </sheetViews>
  <sheetFormatPr defaultRowHeight="14.5" x14ac:dyDescent="0.35"/>
  <cols>
    <col min="2" max="2" width="18" bestFit="1" customWidth="1"/>
    <col min="3" max="3" width="11.81640625" bestFit="1" customWidth="1"/>
    <col min="8" max="8" width="9.54296875" bestFit="1" customWidth="1"/>
    <col min="9" max="9" width="11.6328125" bestFit="1" customWidth="1"/>
    <col min="10" max="10" width="13.26953125" bestFit="1" customWidth="1"/>
    <col min="11" max="11" width="16.6328125" bestFit="1" customWidth="1"/>
  </cols>
  <sheetData>
    <row r="3" spans="2:8" x14ac:dyDescent="0.35"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</row>
    <row r="4" spans="2:8" x14ac:dyDescent="0.35">
      <c r="B4">
        <v>1</v>
      </c>
      <c r="C4">
        <v>1</v>
      </c>
      <c r="D4">
        <v>31.21</v>
      </c>
      <c r="E4">
        <v>-121.81</v>
      </c>
      <c r="F4">
        <v>36.520000000000003</v>
      </c>
      <c r="G4">
        <v>-91.3</v>
      </c>
      <c r="H4">
        <f>ABS(D4-F4)+ABS(E4-G4)</f>
        <v>35.820000000000007</v>
      </c>
    </row>
    <row r="5" spans="2:8" x14ac:dyDescent="0.35">
      <c r="B5">
        <v>1</v>
      </c>
      <c r="C5">
        <v>2</v>
      </c>
      <c r="D5">
        <v>31.21</v>
      </c>
      <c r="E5">
        <v>-121.81</v>
      </c>
      <c r="F5">
        <v>35.56</v>
      </c>
      <c r="G5">
        <v>-94.2</v>
      </c>
      <c r="H5">
        <f t="shared" ref="H5:H27" si="0">ABS(D5-F5)+ABS(E5-G5)</f>
        <v>31.96</v>
      </c>
    </row>
    <row r="6" spans="2:8" x14ac:dyDescent="0.35">
      <c r="B6">
        <v>1</v>
      </c>
      <c r="C6">
        <v>3</v>
      </c>
      <c r="D6">
        <v>31.21</v>
      </c>
      <c r="E6">
        <v>-121.81</v>
      </c>
      <c r="F6">
        <v>48.89</v>
      </c>
      <c r="G6">
        <v>-84.19</v>
      </c>
      <c r="H6">
        <f t="shared" si="0"/>
        <v>55.300000000000004</v>
      </c>
    </row>
    <row r="7" spans="2:8" x14ac:dyDescent="0.35">
      <c r="B7">
        <v>1</v>
      </c>
      <c r="C7">
        <v>4</v>
      </c>
      <c r="D7">
        <v>31.21</v>
      </c>
      <c r="E7">
        <v>-121.81</v>
      </c>
      <c r="F7">
        <v>28.1</v>
      </c>
      <c r="G7">
        <v>-103.17</v>
      </c>
      <c r="H7">
        <f t="shared" si="0"/>
        <v>21.75</v>
      </c>
    </row>
    <row r="8" spans="2:8" x14ac:dyDescent="0.35">
      <c r="B8">
        <v>1</v>
      </c>
      <c r="C8">
        <v>5</v>
      </c>
      <c r="D8">
        <v>31.21</v>
      </c>
      <c r="E8">
        <v>-121.81</v>
      </c>
      <c r="F8">
        <v>33.9</v>
      </c>
      <c r="G8">
        <v>-67.569999999999993</v>
      </c>
      <c r="H8">
        <f t="shared" si="0"/>
        <v>56.930000000000007</v>
      </c>
    </row>
    <row r="9" spans="2:8" x14ac:dyDescent="0.35">
      <c r="B9">
        <v>1</v>
      </c>
      <c r="C9">
        <v>6</v>
      </c>
      <c r="D9">
        <v>31.21</v>
      </c>
      <c r="E9">
        <v>-121.81</v>
      </c>
      <c r="F9">
        <v>41.46</v>
      </c>
      <c r="G9">
        <v>-78</v>
      </c>
      <c r="H9">
        <f t="shared" si="0"/>
        <v>54.06</v>
      </c>
    </row>
    <row r="10" spans="2:8" x14ac:dyDescent="0.35">
      <c r="B10">
        <v>2</v>
      </c>
      <c r="C10">
        <v>1</v>
      </c>
      <c r="D10">
        <v>31.91</v>
      </c>
      <c r="E10">
        <v>-105.86</v>
      </c>
      <c r="F10">
        <v>36.520000000000003</v>
      </c>
      <c r="G10">
        <v>-91.3</v>
      </c>
      <c r="H10">
        <f t="shared" si="0"/>
        <v>19.170000000000005</v>
      </c>
    </row>
    <row r="11" spans="2:8" x14ac:dyDescent="0.35">
      <c r="B11">
        <v>2</v>
      </c>
      <c r="C11">
        <v>2</v>
      </c>
      <c r="D11">
        <v>31.91</v>
      </c>
      <c r="E11">
        <v>-105.86</v>
      </c>
      <c r="F11">
        <v>35.56</v>
      </c>
      <c r="G11">
        <v>-94.2</v>
      </c>
      <c r="H11">
        <f t="shared" si="0"/>
        <v>15.309999999999999</v>
      </c>
    </row>
    <row r="12" spans="2:8" x14ac:dyDescent="0.35">
      <c r="B12">
        <v>2</v>
      </c>
      <c r="C12">
        <v>3</v>
      </c>
      <c r="D12">
        <v>31.91</v>
      </c>
      <c r="E12">
        <v>-105.86</v>
      </c>
      <c r="F12">
        <v>48.89</v>
      </c>
      <c r="G12">
        <v>-84.19</v>
      </c>
      <c r="H12">
        <f t="shared" si="0"/>
        <v>38.650000000000006</v>
      </c>
    </row>
    <row r="13" spans="2:8" x14ac:dyDescent="0.35">
      <c r="B13">
        <v>2</v>
      </c>
      <c r="C13">
        <v>4</v>
      </c>
      <c r="D13">
        <v>31.91</v>
      </c>
      <c r="E13">
        <v>-105.86</v>
      </c>
      <c r="F13">
        <v>28.1</v>
      </c>
      <c r="G13">
        <v>-103.17</v>
      </c>
      <c r="H13">
        <f t="shared" si="0"/>
        <v>6.4999999999999964</v>
      </c>
    </row>
    <row r="14" spans="2:8" x14ac:dyDescent="0.35">
      <c r="B14">
        <v>2</v>
      </c>
      <c r="C14">
        <v>5</v>
      </c>
      <c r="D14">
        <v>31.91</v>
      </c>
      <c r="E14">
        <v>-105.86</v>
      </c>
      <c r="F14">
        <v>33.9</v>
      </c>
      <c r="G14">
        <v>-67.569999999999993</v>
      </c>
      <c r="H14">
        <f t="shared" si="0"/>
        <v>40.28</v>
      </c>
    </row>
    <row r="15" spans="2:8" x14ac:dyDescent="0.35">
      <c r="B15">
        <v>2</v>
      </c>
      <c r="C15">
        <v>6</v>
      </c>
      <c r="D15">
        <v>31.91</v>
      </c>
      <c r="E15">
        <v>-105.86</v>
      </c>
      <c r="F15">
        <v>41.46</v>
      </c>
      <c r="G15">
        <v>-78</v>
      </c>
      <c r="H15">
        <f t="shared" si="0"/>
        <v>37.409999999999997</v>
      </c>
    </row>
    <row r="16" spans="2:8" x14ac:dyDescent="0.35">
      <c r="B16">
        <v>3</v>
      </c>
      <c r="C16">
        <v>1</v>
      </c>
      <c r="D16">
        <v>25.35</v>
      </c>
      <c r="E16">
        <v>-75.900000000000006</v>
      </c>
      <c r="F16">
        <v>36.520000000000003</v>
      </c>
      <c r="G16">
        <v>-91.3</v>
      </c>
      <c r="H16">
        <f t="shared" si="0"/>
        <v>26.569999999999993</v>
      </c>
    </row>
    <row r="17" spans="2:9" x14ac:dyDescent="0.35">
      <c r="B17">
        <v>3</v>
      </c>
      <c r="C17">
        <v>2</v>
      </c>
      <c r="D17">
        <v>25.35</v>
      </c>
      <c r="E17">
        <v>-75.900000000000006</v>
      </c>
      <c r="F17">
        <v>35.56</v>
      </c>
      <c r="G17">
        <v>-94.2</v>
      </c>
      <c r="H17">
        <f t="shared" si="0"/>
        <v>28.509999999999998</v>
      </c>
    </row>
    <row r="18" spans="2:9" x14ac:dyDescent="0.35">
      <c r="B18">
        <v>3</v>
      </c>
      <c r="C18">
        <v>3</v>
      </c>
      <c r="D18">
        <v>25.35</v>
      </c>
      <c r="E18">
        <v>-75.900000000000006</v>
      </c>
      <c r="F18">
        <v>48.89</v>
      </c>
      <c r="G18">
        <v>-84.19</v>
      </c>
      <c r="H18">
        <f t="shared" si="0"/>
        <v>31.829999999999991</v>
      </c>
    </row>
    <row r="19" spans="2:9" x14ac:dyDescent="0.35">
      <c r="B19">
        <v>3</v>
      </c>
      <c r="C19">
        <v>4</v>
      </c>
      <c r="D19">
        <v>25.35</v>
      </c>
      <c r="E19">
        <v>-75.900000000000006</v>
      </c>
      <c r="F19">
        <v>28.1</v>
      </c>
      <c r="G19">
        <v>-103.17</v>
      </c>
      <c r="H19">
        <f t="shared" si="0"/>
        <v>30.019999999999996</v>
      </c>
    </row>
    <row r="20" spans="2:9" x14ac:dyDescent="0.35">
      <c r="B20">
        <v>3</v>
      </c>
      <c r="C20">
        <v>5</v>
      </c>
      <c r="D20">
        <v>25.35</v>
      </c>
      <c r="E20">
        <v>-75.900000000000006</v>
      </c>
      <c r="F20">
        <v>33.9</v>
      </c>
      <c r="G20">
        <v>-67.569999999999993</v>
      </c>
      <c r="H20">
        <f t="shared" si="0"/>
        <v>16.88000000000001</v>
      </c>
    </row>
    <row r="21" spans="2:9" x14ac:dyDescent="0.35">
      <c r="B21">
        <v>3</v>
      </c>
      <c r="C21">
        <v>6</v>
      </c>
      <c r="D21">
        <v>25.35</v>
      </c>
      <c r="E21">
        <v>-75.900000000000006</v>
      </c>
      <c r="F21">
        <v>41.46</v>
      </c>
      <c r="G21">
        <v>-78</v>
      </c>
      <c r="H21">
        <f t="shared" si="0"/>
        <v>18.209999999999994</v>
      </c>
    </row>
    <row r="22" spans="2:9" x14ac:dyDescent="0.35">
      <c r="B22">
        <v>4</v>
      </c>
      <c r="C22">
        <v>1</v>
      </c>
      <c r="D22">
        <v>43.96</v>
      </c>
      <c r="E22">
        <v>-93.8</v>
      </c>
      <c r="F22">
        <v>36.520000000000003</v>
      </c>
      <c r="G22">
        <v>-91.3</v>
      </c>
      <c r="H22">
        <f t="shared" si="0"/>
        <v>9.9399999999999977</v>
      </c>
    </row>
    <row r="23" spans="2:9" x14ac:dyDescent="0.35">
      <c r="B23">
        <v>4</v>
      </c>
      <c r="C23">
        <v>2</v>
      </c>
      <c r="D23">
        <v>43.96</v>
      </c>
      <c r="E23">
        <v>-93.8</v>
      </c>
      <c r="F23">
        <v>35.56</v>
      </c>
      <c r="G23">
        <v>-94.2</v>
      </c>
      <c r="H23">
        <f t="shared" si="0"/>
        <v>8.8000000000000043</v>
      </c>
    </row>
    <row r="24" spans="2:9" x14ac:dyDescent="0.35">
      <c r="B24">
        <v>4</v>
      </c>
      <c r="C24">
        <v>3</v>
      </c>
      <c r="D24">
        <v>43.96</v>
      </c>
      <c r="E24">
        <v>-93.8</v>
      </c>
      <c r="F24">
        <v>48.89</v>
      </c>
      <c r="G24">
        <v>-84.19</v>
      </c>
      <c r="H24">
        <f t="shared" si="0"/>
        <v>14.54</v>
      </c>
    </row>
    <row r="25" spans="2:9" x14ac:dyDescent="0.35">
      <c r="B25">
        <v>4</v>
      </c>
      <c r="C25">
        <v>4</v>
      </c>
      <c r="D25">
        <v>43.96</v>
      </c>
      <c r="E25">
        <v>-93.8</v>
      </c>
      <c r="F25">
        <v>28.1</v>
      </c>
      <c r="G25">
        <v>-103.17</v>
      </c>
      <c r="H25">
        <f t="shared" si="0"/>
        <v>25.230000000000004</v>
      </c>
    </row>
    <row r="26" spans="2:9" x14ac:dyDescent="0.35">
      <c r="B26">
        <v>4</v>
      </c>
      <c r="C26">
        <v>5</v>
      </c>
      <c r="D26">
        <v>43.96</v>
      </c>
      <c r="E26">
        <v>-93.8</v>
      </c>
      <c r="F26">
        <v>33.9</v>
      </c>
      <c r="G26">
        <v>-67.569999999999993</v>
      </c>
      <c r="H26">
        <f t="shared" si="0"/>
        <v>36.290000000000006</v>
      </c>
    </row>
    <row r="27" spans="2:9" x14ac:dyDescent="0.35">
      <c r="B27">
        <v>4</v>
      </c>
      <c r="C27">
        <v>6</v>
      </c>
      <c r="D27">
        <v>43.96</v>
      </c>
      <c r="E27">
        <v>-93.8</v>
      </c>
      <c r="F27">
        <v>41.46</v>
      </c>
      <c r="G27">
        <v>-78</v>
      </c>
      <c r="H27">
        <f t="shared" si="0"/>
        <v>18.299999999999997</v>
      </c>
    </row>
    <row r="30" spans="2:9" x14ac:dyDescent="0.35">
      <c r="B30" t="s">
        <v>28</v>
      </c>
      <c r="C30">
        <v>1</v>
      </c>
      <c r="D30">
        <v>2</v>
      </c>
      <c r="E30">
        <v>3</v>
      </c>
      <c r="F30">
        <v>4</v>
      </c>
      <c r="G30">
        <v>5</v>
      </c>
      <c r="H30">
        <v>6</v>
      </c>
    </row>
    <row r="31" spans="2:9" x14ac:dyDescent="0.35">
      <c r="B31">
        <v>1</v>
      </c>
      <c r="C31">
        <f>H4</f>
        <v>35.820000000000007</v>
      </c>
      <c r="D31">
        <f>H5</f>
        <v>31.96</v>
      </c>
      <c r="E31">
        <f>H6</f>
        <v>55.300000000000004</v>
      </c>
      <c r="F31">
        <f>H7</f>
        <v>21.75</v>
      </c>
      <c r="G31">
        <f>H8</f>
        <v>56.930000000000007</v>
      </c>
      <c r="H31">
        <f>H9</f>
        <v>54.06</v>
      </c>
      <c r="I31" t="s">
        <v>37</v>
      </c>
    </row>
    <row r="32" spans="2:9" x14ac:dyDescent="0.35">
      <c r="B32">
        <v>2</v>
      </c>
      <c r="C32">
        <f>H10</f>
        <v>19.170000000000005</v>
      </c>
      <c r="D32">
        <f>H11</f>
        <v>15.309999999999999</v>
      </c>
      <c r="E32">
        <f>H12</f>
        <v>38.650000000000006</v>
      </c>
      <c r="F32">
        <f>H13</f>
        <v>6.4999999999999964</v>
      </c>
      <c r="G32">
        <f>H14</f>
        <v>40.28</v>
      </c>
      <c r="H32">
        <f>H15</f>
        <v>37.409999999999997</v>
      </c>
      <c r="I32">
        <f>MIN(C31:H31)</f>
        <v>21.75</v>
      </c>
    </row>
    <row r="33" spans="2:13" x14ac:dyDescent="0.35">
      <c r="B33">
        <v>3</v>
      </c>
      <c r="C33">
        <f>H16</f>
        <v>26.569999999999993</v>
      </c>
      <c r="D33">
        <f>H17</f>
        <v>28.509999999999998</v>
      </c>
      <c r="E33">
        <f>H18</f>
        <v>31.829999999999991</v>
      </c>
      <c r="F33">
        <f>H19</f>
        <v>30.019999999999996</v>
      </c>
      <c r="G33">
        <f>H20</f>
        <v>16.88000000000001</v>
      </c>
      <c r="H33">
        <f>H21</f>
        <v>18.209999999999994</v>
      </c>
      <c r="I33">
        <f>MIN(C32:H32)</f>
        <v>6.4999999999999964</v>
      </c>
    </row>
    <row r="34" spans="2:13" x14ac:dyDescent="0.35">
      <c r="B34">
        <v>4</v>
      </c>
      <c r="C34">
        <f>H22</f>
        <v>9.9399999999999977</v>
      </c>
      <c r="D34">
        <f>H23</f>
        <v>8.8000000000000043</v>
      </c>
      <c r="E34">
        <f>H24</f>
        <v>14.54</v>
      </c>
      <c r="F34">
        <f>H25</f>
        <v>25.230000000000004</v>
      </c>
      <c r="G34">
        <f>H26</f>
        <v>36.290000000000006</v>
      </c>
      <c r="H34">
        <f>H27</f>
        <v>18.299999999999997</v>
      </c>
      <c r="I34">
        <f>MIN(C33:H33)</f>
        <v>16.88000000000001</v>
      </c>
    </row>
    <row r="35" spans="2:13" x14ac:dyDescent="0.35">
      <c r="I35">
        <f>MIN(C34:H34)</f>
        <v>8.8000000000000043</v>
      </c>
    </row>
    <row r="37" spans="2:13" x14ac:dyDescent="0.35">
      <c r="L37" s="2" t="s">
        <v>32</v>
      </c>
    </row>
    <row r="38" spans="2:13" x14ac:dyDescent="0.35">
      <c r="B38" s="2" t="s">
        <v>28</v>
      </c>
      <c r="C38" s="4">
        <v>1</v>
      </c>
      <c r="D38" s="4">
        <v>2</v>
      </c>
      <c r="E38" s="4">
        <v>3</v>
      </c>
      <c r="F38" s="4">
        <v>4</v>
      </c>
      <c r="G38" s="4">
        <v>5</v>
      </c>
      <c r="H38" s="4">
        <v>6</v>
      </c>
      <c r="I38" s="2" t="s">
        <v>31</v>
      </c>
      <c r="J38" s="2" t="s">
        <v>36</v>
      </c>
      <c r="K38" s="2" t="s">
        <v>35</v>
      </c>
      <c r="L38" s="2" t="s">
        <v>33</v>
      </c>
      <c r="M38" s="2" t="s">
        <v>34</v>
      </c>
    </row>
    <row r="39" spans="2:13" x14ac:dyDescent="0.35">
      <c r="B39" s="4">
        <v>1</v>
      </c>
      <c r="C39" s="1">
        <v>0</v>
      </c>
      <c r="D39" s="1">
        <v>0</v>
      </c>
      <c r="E39" s="1">
        <v>0</v>
      </c>
      <c r="F39" s="1">
        <v>673</v>
      </c>
      <c r="G39" s="1">
        <v>0</v>
      </c>
      <c r="H39" s="1">
        <v>0</v>
      </c>
      <c r="I39" s="5">
        <v>0</v>
      </c>
      <c r="J39">
        <v>0</v>
      </c>
      <c r="K39">
        <f>I39-($I$44*J39)</f>
        <v>0</v>
      </c>
      <c r="L39">
        <f>J39*M39</f>
        <v>0</v>
      </c>
      <c r="M39">
        <v>2874</v>
      </c>
    </row>
    <row r="40" spans="2:13" x14ac:dyDescent="0.35">
      <c r="B40" s="4">
        <v>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5">
        <f>SUM(C40:H40)</f>
        <v>0</v>
      </c>
      <c r="J40">
        <v>0</v>
      </c>
      <c r="K40">
        <f t="shared" ref="K40:K42" si="1">I40-($I$44*J40)</f>
        <v>0</v>
      </c>
      <c r="L40">
        <f t="shared" ref="L40:L42" si="2">J40*M40</f>
        <v>0</v>
      </c>
      <c r="M40">
        <v>2680</v>
      </c>
    </row>
    <row r="41" spans="2:13" x14ac:dyDescent="0.35">
      <c r="B41" s="4">
        <v>3</v>
      </c>
      <c r="C41" s="1">
        <v>0</v>
      </c>
      <c r="D41" s="1">
        <v>0</v>
      </c>
      <c r="E41" s="1">
        <v>0</v>
      </c>
      <c r="F41" s="1">
        <v>0</v>
      </c>
      <c r="G41" s="1">
        <v>861.99999999999989</v>
      </c>
      <c r="H41" s="1">
        <v>516</v>
      </c>
      <c r="I41" s="5">
        <f>SUM(C41:H41)</f>
        <v>1378</v>
      </c>
      <c r="J41">
        <v>1</v>
      </c>
      <c r="K41">
        <f t="shared" si="1"/>
        <v>-2997</v>
      </c>
      <c r="L41">
        <f t="shared" si="2"/>
        <v>2601</v>
      </c>
      <c r="M41">
        <v>2601</v>
      </c>
    </row>
    <row r="42" spans="2:13" x14ac:dyDescent="0.35">
      <c r="B42" s="4">
        <v>4</v>
      </c>
      <c r="C42" s="1">
        <v>740</v>
      </c>
      <c r="D42" s="1">
        <v>888</v>
      </c>
      <c r="E42" s="1">
        <v>696</v>
      </c>
      <c r="F42" s="1">
        <v>0</v>
      </c>
      <c r="G42" s="1">
        <v>0</v>
      </c>
      <c r="H42" s="1">
        <v>0</v>
      </c>
      <c r="I42" s="5">
        <f>SUM(C42:H42)</f>
        <v>2324</v>
      </c>
      <c r="J42">
        <v>1</v>
      </c>
      <c r="K42">
        <f t="shared" si="1"/>
        <v>-2051</v>
      </c>
      <c r="L42">
        <f t="shared" si="2"/>
        <v>2490</v>
      </c>
      <c r="M42">
        <v>2490</v>
      </c>
    </row>
    <row r="43" spans="2:13" x14ac:dyDescent="0.35">
      <c r="B43" s="2" t="s">
        <v>29</v>
      </c>
      <c r="C43">
        <f>SUM(C39:C42)</f>
        <v>740</v>
      </c>
      <c r="D43">
        <f t="shared" ref="D43:H43" si="3">SUM(D39:D42)</f>
        <v>888</v>
      </c>
      <c r="E43">
        <f t="shared" si="3"/>
        <v>696</v>
      </c>
      <c r="F43">
        <f t="shared" si="3"/>
        <v>673</v>
      </c>
      <c r="G43">
        <f t="shared" si="3"/>
        <v>861.99999999999989</v>
      </c>
      <c r="H43">
        <f t="shared" si="3"/>
        <v>516</v>
      </c>
    </row>
    <row r="44" spans="2:13" x14ac:dyDescent="0.35">
      <c r="B44" s="2" t="s">
        <v>30</v>
      </c>
      <c r="C44">
        <v>740</v>
      </c>
      <c r="D44">
        <v>888</v>
      </c>
      <c r="E44">
        <v>696</v>
      </c>
      <c r="F44">
        <v>673</v>
      </c>
      <c r="G44">
        <v>862</v>
      </c>
      <c r="H44">
        <v>516</v>
      </c>
      <c r="I44">
        <f>SUM(C44:H44)</f>
        <v>4375</v>
      </c>
    </row>
    <row r="46" spans="2:13" x14ac:dyDescent="0.35">
      <c r="B46" s="2" t="s">
        <v>38</v>
      </c>
      <c r="C46" s="3">
        <f>SUMPRODUCT(C31:H34,C39:H42)+SUM(L39:L42)</f>
        <v>68965.509999999995</v>
      </c>
    </row>
    <row r="47" spans="2:13" x14ac:dyDescent="0.35">
      <c r="J47">
        <f>SUM(J39:J42)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242DF-F026-4AA5-89F9-791BE1C540E5}">
  <dimension ref="A1:P7"/>
  <sheetViews>
    <sheetView topLeftCell="L1" zoomScale="80" zoomScaleNormal="80" workbookViewId="0">
      <selection activeCell="N19" sqref="N19"/>
    </sheetView>
  </sheetViews>
  <sheetFormatPr defaultRowHeight="14.5" x14ac:dyDescent="0.35"/>
  <cols>
    <col min="1" max="1" width="9.6328125" bestFit="1" customWidth="1"/>
    <col min="2" max="2" width="19.54296875" bestFit="1" customWidth="1"/>
    <col min="3" max="3" width="10.54296875" bestFit="1" customWidth="1"/>
    <col min="4" max="4" width="7.1796875" bestFit="1" customWidth="1"/>
    <col min="5" max="5" width="8.26953125" bestFit="1" customWidth="1"/>
    <col min="8" max="8" width="7.90625" bestFit="1" customWidth="1"/>
    <col min="9" max="9" width="19.7265625" bestFit="1" customWidth="1"/>
    <col min="10" max="10" width="26" bestFit="1" customWidth="1"/>
    <col min="12" max="12" width="16.1796875" bestFit="1" customWidth="1"/>
    <col min="13" max="13" width="18.6328125" bestFit="1" customWidth="1"/>
    <col min="14" max="14" width="16.1796875" bestFit="1" customWidth="1"/>
    <col min="15" max="15" width="18.6328125" bestFit="1" customWidth="1"/>
    <col min="16" max="16" width="8.26953125" bestFit="1" customWidth="1"/>
    <col min="17" max="17" width="7" bestFit="1" customWidth="1"/>
    <col min="18" max="18" width="8.26953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9</v>
      </c>
      <c r="I1" t="s">
        <v>10</v>
      </c>
      <c r="J1" t="s">
        <v>11</v>
      </c>
      <c r="L1" t="s">
        <v>13</v>
      </c>
      <c r="M1" t="s">
        <v>1</v>
      </c>
      <c r="N1" t="s">
        <v>14</v>
      </c>
      <c r="O1" t="s">
        <v>3</v>
      </c>
      <c r="P1" t="s">
        <v>4</v>
      </c>
    </row>
    <row r="2" spans="1:16" x14ac:dyDescent="0.35">
      <c r="A2">
        <v>1</v>
      </c>
      <c r="B2" t="s">
        <v>5</v>
      </c>
      <c r="C2">
        <v>2874</v>
      </c>
      <c r="D2">
        <v>31.21</v>
      </c>
      <c r="E2">
        <v>-121.81</v>
      </c>
      <c r="H2">
        <v>2</v>
      </c>
      <c r="I2">
        <v>1</v>
      </c>
      <c r="J2" t="s">
        <v>12</v>
      </c>
      <c r="L2">
        <v>1</v>
      </c>
      <c r="M2" t="s">
        <v>15</v>
      </c>
      <c r="N2">
        <v>740</v>
      </c>
      <c r="O2">
        <v>36.520000000000003</v>
      </c>
      <c r="P2">
        <v>-91.3</v>
      </c>
    </row>
    <row r="3" spans="1:16" x14ac:dyDescent="0.35">
      <c r="A3">
        <v>2</v>
      </c>
      <c r="B3" t="s">
        <v>6</v>
      </c>
      <c r="C3">
        <v>2680</v>
      </c>
      <c r="D3">
        <v>31.91</v>
      </c>
      <c r="E3">
        <v>-105.86</v>
      </c>
      <c r="L3">
        <v>2</v>
      </c>
      <c r="M3" t="s">
        <v>16</v>
      </c>
      <c r="N3">
        <v>888</v>
      </c>
      <c r="O3">
        <v>35.56</v>
      </c>
      <c r="P3">
        <v>-94.2</v>
      </c>
    </row>
    <row r="4" spans="1:16" x14ac:dyDescent="0.35">
      <c r="A4">
        <v>3</v>
      </c>
      <c r="B4" t="s">
        <v>7</v>
      </c>
      <c r="C4">
        <v>2601</v>
      </c>
      <c r="D4">
        <v>25.35</v>
      </c>
      <c r="E4">
        <v>-75.900000000000006</v>
      </c>
      <c r="L4">
        <v>3</v>
      </c>
      <c r="M4" t="s">
        <v>17</v>
      </c>
      <c r="N4">
        <v>696</v>
      </c>
      <c r="O4">
        <v>48.89</v>
      </c>
      <c r="P4">
        <v>-84.19</v>
      </c>
    </row>
    <row r="5" spans="1:16" x14ac:dyDescent="0.35">
      <c r="A5">
        <v>4</v>
      </c>
      <c r="B5" t="s">
        <v>8</v>
      </c>
      <c r="C5">
        <v>2490</v>
      </c>
      <c r="D5">
        <v>43.96</v>
      </c>
      <c r="E5">
        <v>-93.8</v>
      </c>
      <c r="L5">
        <v>4</v>
      </c>
      <c r="M5" t="s">
        <v>18</v>
      </c>
      <c r="N5">
        <v>673</v>
      </c>
      <c r="O5">
        <v>28.1</v>
      </c>
      <c r="P5">
        <v>-103.17</v>
      </c>
    </row>
    <row r="6" spans="1:16" x14ac:dyDescent="0.35">
      <c r="L6">
        <v>5</v>
      </c>
      <c r="M6" t="s">
        <v>19</v>
      </c>
      <c r="N6">
        <v>862</v>
      </c>
      <c r="O6">
        <v>33.9</v>
      </c>
      <c r="P6">
        <v>-67.569999999999993</v>
      </c>
    </row>
    <row r="7" spans="1:16" x14ac:dyDescent="0.35">
      <c r="L7">
        <v>6</v>
      </c>
      <c r="M7" t="s">
        <v>20</v>
      </c>
      <c r="N7">
        <v>516</v>
      </c>
      <c r="O7">
        <v>41.46</v>
      </c>
      <c r="P7">
        <v>-78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EC6EF-7CF4-45FB-8AC2-E57B88E5205E}">
  <dimension ref="B3:M47"/>
  <sheetViews>
    <sheetView tabSelected="1" topLeftCell="A23" zoomScale="56" zoomScaleNormal="50" workbookViewId="0">
      <selection activeCell="K53" sqref="K53"/>
    </sheetView>
  </sheetViews>
  <sheetFormatPr defaultRowHeight="14.5" x14ac:dyDescent="0.35"/>
  <cols>
    <col min="2" max="2" width="18" bestFit="1" customWidth="1"/>
    <col min="3" max="3" width="11.81640625" bestFit="1" customWidth="1"/>
    <col min="8" max="8" width="9.54296875" bestFit="1" customWidth="1"/>
    <col min="9" max="9" width="11.6328125" bestFit="1" customWidth="1"/>
    <col min="10" max="10" width="13.26953125" bestFit="1" customWidth="1"/>
    <col min="11" max="11" width="16.6328125" bestFit="1" customWidth="1"/>
  </cols>
  <sheetData>
    <row r="3" spans="2:8" x14ac:dyDescent="0.35"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</row>
    <row r="4" spans="2:8" x14ac:dyDescent="0.35">
      <c r="B4">
        <v>1</v>
      </c>
      <c r="C4">
        <v>1</v>
      </c>
      <c r="D4">
        <v>31.21</v>
      </c>
      <c r="E4">
        <v>-121.81</v>
      </c>
      <c r="F4">
        <v>36.520000000000003</v>
      </c>
      <c r="G4">
        <v>-91.3</v>
      </c>
      <c r="H4" s="6">
        <f>SQRT(ABS(D4-F4)+ABS(E4-G4))</f>
        <v>5.9849812029780018</v>
      </c>
    </row>
    <row r="5" spans="2:8" x14ac:dyDescent="0.35">
      <c r="B5">
        <v>1</v>
      </c>
      <c r="C5">
        <v>2</v>
      </c>
      <c r="D5">
        <v>31.21</v>
      </c>
      <c r="E5">
        <v>-121.81</v>
      </c>
      <c r="F5">
        <v>35.56</v>
      </c>
      <c r="G5">
        <v>-94.2</v>
      </c>
      <c r="H5" s="6">
        <f t="shared" ref="H5:H27" si="0">SQRT(ABS(D5-F5)+ABS(E5-G5))</f>
        <v>5.6533176100410278</v>
      </c>
    </row>
    <row r="6" spans="2:8" x14ac:dyDescent="0.35">
      <c r="B6">
        <v>1</v>
      </c>
      <c r="C6">
        <v>3</v>
      </c>
      <c r="D6">
        <v>31.21</v>
      </c>
      <c r="E6">
        <v>-121.81</v>
      </c>
      <c r="F6">
        <v>48.89</v>
      </c>
      <c r="G6">
        <v>-84.19</v>
      </c>
      <c r="H6" s="6">
        <f t="shared" si="0"/>
        <v>7.4363969770312828</v>
      </c>
    </row>
    <row r="7" spans="2:8" x14ac:dyDescent="0.35">
      <c r="B7">
        <v>1</v>
      </c>
      <c r="C7">
        <v>4</v>
      </c>
      <c r="D7">
        <v>31.21</v>
      </c>
      <c r="E7">
        <v>-121.81</v>
      </c>
      <c r="F7">
        <v>28.1</v>
      </c>
      <c r="G7">
        <v>-103.17</v>
      </c>
      <c r="H7" s="6">
        <f t="shared" si="0"/>
        <v>4.6636895265444078</v>
      </c>
    </row>
    <row r="8" spans="2:8" x14ac:dyDescent="0.35">
      <c r="B8">
        <v>1</v>
      </c>
      <c r="C8">
        <v>5</v>
      </c>
      <c r="D8">
        <v>31.21</v>
      </c>
      <c r="E8">
        <v>-121.81</v>
      </c>
      <c r="F8">
        <v>33.9</v>
      </c>
      <c r="G8">
        <v>-67.569999999999993</v>
      </c>
      <c r="H8" s="6">
        <f t="shared" si="0"/>
        <v>7.5451971478550517</v>
      </c>
    </row>
    <row r="9" spans="2:8" x14ac:dyDescent="0.35">
      <c r="B9">
        <v>1</v>
      </c>
      <c r="C9">
        <v>6</v>
      </c>
      <c r="D9">
        <v>31.21</v>
      </c>
      <c r="E9">
        <v>-121.81</v>
      </c>
      <c r="F9">
        <v>41.46</v>
      </c>
      <c r="G9">
        <v>-78</v>
      </c>
      <c r="H9" s="6">
        <f t="shared" si="0"/>
        <v>7.3525505778607201</v>
      </c>
    </row>
    <row r="10" spans="2:8" x14ac:dyDescent="0.35">
      <c r="B10">
        <v>2</v>
      </c>
      <c r="C10">
        <v>1</v>
      </c>
      <c r="D10">
        <v>31.91</v>
      </c>
      <c r="E10">
        <v>-105.86</v>
      </c>
      <c r="F10">
        <v>36.520000000000003</v>
      </c>
      <c r="G10">
        <v>-91.3</v>
      </c>
      <c r="H10" s="6">
        <f t="shared" si="0"/>
        <v>4.3783558557979276</v>
      </c>
    </row>
    <row r="11" spans="2:8" x14ac:dyDescent="0.35">
      <c r="B11">
        <v>2</v>
      </c>
      <c r="C11">
        <v>2</v>
      </c>
      <c r="D11">
        <v>31.91</v>
      </c>
      <c r="E11">
        <v>-105.86</v>
      </c>
      <c r="F11">
        <v>35.56</v>
      </c>
      <c r="G11">
        <v>-94.2</v>
      </c>
      <c r="H11" s="6">
        <f t="shared" si="0"/>
        <v>3.9127995093027703</v>
      </c>
    </row>
    <row r="12" spans="2:8" x14ac:dyDescent="0.35">
      <c r="B12">
        <v>2</v>
      </c>
      <c r="C12">
        <v>3</v>
      </c>
      <c r="D12">
        <v>31.91</v>
      </c>
      <c r="E12">
        <v>-105.86</v>
      </c>
      <c r="F12">
        <v>48.89</v>
      </c>
      <c r="G12">
        <v>-84.19</v>
      </c>
      <c r="H12" s="6">
        <f t="shared" si="0"/>
        <v>6.2169124169478218</v>
      </c>
    </row>
    <row r="13" spans="2:8" x14ac:dyDescent="0.35">
      <c r="B13">
        <v>2</v>
      </c>
      <c r="C13">
        <v>4</v>
      </c>
      <c r="D13">
        <v>31.91</v>
      </c>
      <c r="E13">
        <v>-105.86</v>
      </c>
      <c r="F13">
        <v>28.1</v>
      </c>
      <c r="G13">
        <v>-103.17</v>
      </c>
      <c r="H13" s="6">
        <f t="shared" si="0"/>
        <v>2.5495097567963918</v>
      </c>
    </row>
    <row r="14" spans="2:8" x14ac:dyDescent="0.35">
      <c r="B14">
        <v>2</v>
      </c>
      <c r="C14">
        <v>5</v>
      </c>
      <c r="D14">
        <v>31.91</v>
      </c>
      <c r="E14">
        <v>-105.86</v>
      </c>
      <c r="F14">
        <v>33.9</v>
      </c>
      <c r="G14">
        <v>-67.569999999999993</v>
      </c>
      <c r="H14" s="6">
        <f t="shared" si="0"/>
        <v>6.3466526610489726</v>
      </c>
    </row>
    <row r="15" spans="2:8" x14ac:dyDescent="0.35">
      <c r="B15">
        <v>2</v>
      </c>
      <c r="C15">
        <v>6</v>
      </c>
      <c r="D15">
        <v>31.91</v>
      </c>
      <c r="E15">
        <v>-105.86</v>
      </c>
      <c r="F15">
        <v>41.46</v>
      </c>
      <c r="G15">
        <v>-78</v>
      </c>
      <c r="H15" s="6">
        <f t="shared" si="0"/>
        <v>6.1163714733492105</v>
      </c>
    </row>
    <row r="16" spans="2:8" x14ac:dyDescent="0.35">
      <c r="B16">
        <v>3</v>
      </c>
      <c r="C16">
        <v>1</v>
      </c>
      <c r="D16">
        <v>25.35</v>
      </c>
      <c r="E16">
        <v>-75.900000000000006</v>
      </c>
      <c r="F16">
        <v>36.520000000000003</v>
      </c>
      <c r="G16">
        <v>-91.3</v>
      </c>
      <c r="H16" s="6">
        <f t="shared" si="0"/>
        <v>5.1546095875439484</v>
      </c>
    </row>
    <row r="17" spans="2:9" x14ac:dyDescent="0.35">
      <c r="B17">
        <v>3</v>
      </c>
      <c r="C17">
        <v>2</v>
      </c>
      <c r="D17">
        <v>25.35</v>
      </c>
      <c r="E17">
        <v>-75.900000000000006</v>
      </c>
      <c r="F17">
        <v>35.56</v>
      </c>
      <c r="G17">
        <v>-94.2</v>
      </c>
      <c r="H17" s="6">
        <f t="shared" si="0"/>
        <v>5.3394756296849977</v>
      </c>
    </row>
    <row r="18" spans="2:9" x14ac:dyDescent="0.35">
      <c r="B18">
        <v>3</v>
      </c>
      <c r="C18">
        <v>3</v>
      </c>
      <c r="D18">
        <v>25.35</v>
      </c>
      <c r="E18">
        <v>-75.900000000000006</v>
      </c>
      <c r="F18">
        <v>48.89</v>
      </c>
      <c r="G18">
        <v>-84.19</v>
      </c>
      <c r="H18" s="6">
        <f t="shared" si="0"/>
        <v>5.6418082207746121</v>
      </c>
    </row>
    <row r="19" spans="2:9" x14ac:dyDescent="0.35">
      <c r="B19">
        <v>3</v>
      </c>
      <c r="C19">
        <v>4</v>
      </c>
      <c r="D19">
        <v>25.35</v>
      </c>
      <c r="E19">
        <v>-75.900000000000006</v>
      </c>
      <c r="F19">
        <v>28.1</v>
      </c>
      <c r="G19">
        <v>-103.17</v>
      </c>
      <c r="H19" s="6">
        <f t="shared" si="0"/>
        <v>5.4790510127210892</v>
      </c>
    </row>
    <row r="20" spans="2:9" x14ac:dyDescent="0.35">
      <c r="B20">
        <v>3</v>
      </c>
      <c r="C20">
        <v>5</v>
      </c>
      <c r="D20">
        <v>25.35</v>
      </c>
      <c r="E20">
        <v>-75.900000000000006</v>
      </c>
      <c r="F20">
        <v>33.9</v>
      </c>
      <c r="G20">
        <v>-67.569999999999993</v>
      </c>
      <c r="H20" s="6">
        <f t="shared" si="0"/>
        <v>4.1085277168348284</v>
      </c>
    </row>
    <row r="21" spans="2:9" x14ac:dyDescent="0.35">
      <c r="B21">
        <v>3</v>
      </c>
      <c r="C21">
        <v>6</v>
      </c>
      <c r="D21">
        <v>25.35</v>
      </c>
      <c r="E21">
        <v>-75.900000000000006</v>
      </c>
      <c r="F21">
        <v>41.46</v>
      </c>
      <c r="G21">
        <v>-78</v>
      </c>
      <c r="H21" s="6">
        <f t="shared" si="0"/>
        <v>4.2673176586703727</v>
      </c>
    </row>
    <row r="22" spans="2:9" x14ac:dyDescent="0.35">
      <c r="B22">
        <v>4</v>
      </c>
      <c r="C22">
        <v>1</v>
      </c>
      <c r="D22">
        <v>43.96</v>
      </c>
      <c r="E22">
        <v>-93.8</v>
      </c>
      <c r="F22">
        <v>36.520000000000003</v>
      </c>
      <c r="G22">
        <v>-91.3</v>
      </c>
      <c r="H22" s="6">
        <f t="shared" si="0"/>
        <v>3.1527765540868891</v>
      </c>
    </row>
    <row r="23" spans="2:9" x14ac:dyDescent="0.35">
      <c r="B23">
        <v>4</v>
      </c>
      <c r="C23">
        <v>2</v>
      </c>
      <c r="D23">
        <v>43.96</v>
      </c>
      <c r="E23">
        <v>-93.8</v>
      </c>
      <c r="F23">
        <v>35.56</v>
      </c>
      <c r="G23">
        <v>-94.2</v>
      </c>
      <c r="H23" s="6">
        <f t="shared" si="0"/>
        <v>2.9664793948382657</v>
      </c>
    </row>
    <row r="24" spans="2:9" x14ac:dyDescent="0.35">
      <c r="B24">
        <v>4</v>
      </c>
      <c r="C24">
        <v>3</v>
      </c>
      <c r="D24">
        <v>43.96</v>
      </c>
      <c r="E24">
        <v>-93.8</v>
      </c>
      <c r="F24">
        <v>48.89</v>
      </c>
      <c r="G24">
        <v>-84.19</v>
      </c>
      <c r="H24" s="6">
        <f t="shared" si="0"/>
        <v>3.8131351929875237</v>
      </c>
    </row>
    <row r="25" spans="2:9" x14ac:dyDescent="0.35">
      <c r="B25">
        <v>4</v>
      </c>
      <c r="C25">
        <v>4</v>
      </c>
      <c r="D25">
        <v>43.96</v>
      </c>
      <c r="E25">
        <v>-93.8</v>
      </c>
      <c r="F25">
        <v>28.1</v>
      </c>
      <c r="G25">
        <v>-103.17</v>
      </c>
      <c r="H25" s="6">
        <f t="shared" si="0"/>
        <v>5.0229473419497443</v>
      </c>
    </row>
    <row r="26" spans="2:9" x14ac:dyDescent="0.35">
      <c r="B26">
        <v>4</v>
      </c>
      <c r="C26">
        <v>5</v>
      </c>
      <c r="D26">
        <v>43.96</v>
      </c>
      <c r="E26">
        <v>-93.8</v>
      </c>
      <c r="F26">
        <v>33.9</v>
      </c>
      <c r="G26">
        <v>-67.569999999999993</v>
      </c>
      <c r="H26" s="6">
        <f t="shared" si="0"/>
        <v>6.0241181927316143</v>
      </c>
    </row>
    <row r="27" spans="2:9" x14ac:dyDescent="0.35">
      <c r="B27">
        <v>4</v>
      </c>
      <c r="C27">
        <v>6</v>
      </c>
      <c r="D27">
        <v>43.96</v>
      </c>
      <c r="E27">
        <v>-93.8</v>
      </c>
      <c r="F27">
        <v>41.46</v>
      </c>
      <c r="G27">
        <v>-78</v>
      </c>
      <c r="H27" s="6">
        <f t="shared" si="0"/>
        <v>4.2778499272414869</v>
      </c>
    </row>
    <row r="30" spans="2:9" x14ac:dyDescent="0.35">
      <c r="B30" t="s">
        <v>28</v>
      </c>
      <c r="C30">
        <v>1</v>
      </c>
      <c r="D30">
        <v>2</v>
      </c>
      <c r="E30">
        <v>3</v>
      </c>
      <c r="F30">
        <v>4</v>
      </c>
      <c r="G30">
        <v>5</v>
      </c>
      <c r="H30">
        <v>6</v>
      </c>
    </row>
    <row r="31" spans="2:9" x14ac:dyDescent="0.35">
      <c r="B31">
        <v>1</v>
      </c>
      <c r="C31">
        <f>H4</f>
        <v>5.9849812029780018</v>
      </c>
      <c r="D31">
        <f>H5</f>
        <v>5.6533176100410278</v>
      </c>
      <c r="E31">
        <f>H6</f>
        <v>7.4363969770312828</v>
      </c>
      <c r="F31">
        <f>H7</f>
        <v>4.6636895265444078</v>
      </c>
      <c r="G31">
        <f>H8</f>
        <v>7.5451971478550517</v>
      </c>
      <c r="H31">
        <f>H9</f>
        <v>7.3525505778607201</v>
      </c>
      <c r="I31" t="s">
        <v>37</v>
      </c>
    </row>
    <row r="32" spans="2:9" x14ac:dyDescent="0.35">
      <c r="B32">
        <v>2</v>
      </c>
      <c r="C32">
        <f>H10</f>
        <v>4.3783558557979276</v>
      </c>
      <c r="D32">
        <f>H11</f>
        <v>3.9127995093027703</v>
      </c>
      <c r="E32">
        <f>H12</f>
        <v>6.2169124169478218</v>
      </c>
      <c r="F32">
        <f>H13</f>
        <v>2.5495097567963918</v>
      </c>
      <c r="G32">
        <f>H14</f>
        <v>6.3466526610489726</v>
      </c>
      <c r="H32">
        <f>H15</f>
        <v>6.1163714733492105</v>
      </c>
      <c r="I32">
        <f>MIN(C31:H31)</f>
        <v>4.6636895265444078</v>
      </c>
    </row>
    <row r="33" spans="2:13" x14ac:dyDescent="0.35">
      <c r="B33">
        <v>3</v>
      </c>
      <c r="C33">
        <f>H16</f>
        <v>5.1546095875439484</v>
      </c>
      <c r="D33">
        <f>H17</f>
        <v>5.3394756296849977</v>
      </c>
      <c r="E33">
        <f>H18</f>
        <v>5.6418082207746121</v>
      </c>
      <c r="F33">
        <f>H19</f>
        <v>5.4790510127210892</v>
      </c>
      <c r="G33">
        <f>H20</f>
        <v>4.1085277168348284</v>
      </c>
      <c r="H33">
        <f>H21</f>
        <v>4.2673176586703727</v>
      </c>
      <c r="I33">
        <f>MIN(C32:H32)</f>
        <v>2.5495097567963918</v>
      </c>
    </row>
    <row r="34" spans="2:13" x14ac:dyDescent="0.35">
      <c r="B34">
        <v>4</v>
      </c>
      <c r="C34">
        <f>H22</f>
        <v>3.1527765540868891</v>
      </c>
      <c r="D34">
        <f>H23</f>
        <v>2.9664793948382657</v>
      </c>
      <c r="E34">
        <f>H24</f>
        <v>3.8131351929875237</v>
      </c>
      <c r="F34">
        <f>H25</f>
        <v>5.0229473419497443</v>
      </c>
      <c r="G34">
        <f>H26</f>
        <v>6.0241181927316143</v>
      </c>
      <c r="H34">
        <f>H27</f>
        <v>4.2778499272414869</v>
      </c>
      <c r="I34">
        <f>MIN(C33:H33)</f>
        <v>4.1085277168348284</v>
      </c>
    </row>
    <row r="35" spans="2:13" x14ac:dyDescent="0.35">
      <c r="I35">
        <f>MIN(C34:H34)</f>
        <v>2.9664793948382657</v>
      </c>
    </row>
    <row r="37" spans="2:13" x14ac:dyDescent="0.35">
      <c r="L37" s="2" t="s">
        <v>32</v>
      </c>
    </row>
    <row r="38" spans="2:13" x14ac:dyDescent="0.35">
      <c r="B38" s="2" t="s">
        <v>28</v>
      </c>
      <c r="C38" s="4">
        <v>1</v>
      </c>
      <c r="D38" s="4">
        <v>2</v>
      </c>
      <c r="E38" s="4">
        <v>3</v>
      </c>
      <c r="F38" s="4">
        <v>4</v>
      </c>
      <c r="G38" s="4">
        <v>5</v>
      </c>
      <c r="H38" s="4">
        <v>6</v>
      </c>
      <c r="I38" s="2" t="s">
        <v>31</v>
      </c>
      <c r="J38" s="2" t="s">
        <v>36</v>
      </c>
      <c r="K38" s="2" t="s">
        <v>35</v>
      </c>
      <c r="L38" s="2" t="s">
        <v>33</v>
      </c>
      <c r="M38" s="2" t="s">
        <v>34</v>
      </c>
    </row>
    <row r="39" spans="2:13" x14ac:dyDescent="0.35">
      <c r="B39" s="4">
        <v>1</v>
      </c>
      <c r="C39" s="1">
        <v>0</v>
      </c>
      <c r="D39" s="1">
        <v>0</v>
      </c>
      <c r="E39" s="1">
        <v>0</v>
      </c>
      <c r="F39" s="1">
        <v>673</v>
      </c>
      <c r="G39" s="1">
        <v>0</v>
      </c>
      <c r="H39" s="1">
        <v>0</v>
      </c>
      <c r="I39" s="5">
        <v>0</v>
      </c>
      <c r="J39">
        <v>0</v>
      </c>
      <c r="K39">
        <f>I39-($I$44*J39)</f>
        <v>0</v>
      </c>
      <c r="L39">
        <f>J39*M39</f>
        <v>0</v>
      </c>
      <c r="M39">
        <v>2874</v>
      </c>
    </row>
    <row r="40" spans="2:13" x14ac:dyDescent="0.35">
      <c r="B40" s="4">
        <v>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5">
        <f>SUM(C40:H40)</f>
        <v>0</v>
      </c>
      <c r="J40">
        <v>0</v>
      </c>
      <c r="K40">
        <f t="shared" ref="K40:K42" si="1">I40-($I$44*J40)</f>
        <v>0</v>
      </c>
      <c r="L40">
        <f t="shared" ref="L40:L42" si="2">J40*M40</f>
        <v>0</v>
      </c>
      <c r="M40">
        <v>2680</v>
      </c>
    </row>
    <row r="41" spans="2:13" x14ac:dyDescent="0.35">
      <c r="B41" s="4">
        <v>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5">
        <f>SUM(C41:H41)</f>
        <v>0</v>
      </c>
      <c r="J41">
        <v>0</v>
      </c>
      <c r="K41">
        <f t="shared" si="1"/>
        <v>0</v>
      </c>
      <c r="L41">
        <f t="shared" si="2"/>
        <v>0</v>
      </c>
      <c r="M41">
        <v>2601</v>
      </c>
    </row>
    <row r="42" spans="2:13" x14ac:dyDescent="0.35">
      <c r="B42" s="4">
        <v>4</v>
      </c>
      <c r="C42" s="1">
        <v>740</v>
      </c>
      <c r="D42" s="1">
        <v>888</v>
      </c>
      <c r="E42" s="1">
        <v>696</v>
      </c>
      <c r="F42" s="1">
        <v>0</v>
      </c>
      <c r="G42" s="1">
        <v>861.99999999999989</v>
      </c>
      <c r="H42" s="1">
        <v>516</v>
      </c>
      <c r="I42" s="5">
        <f>SUM(C42:H42)</f>
        <v>3702</v>
      </c>
      <c r="J42">
        <v>1</v>
      </c>
      <c r="K42">
        <f t="shared" si="1"/>
        <v>-673</v>
      </c>
      <c r="L42">
        <f t="shared" si="2"/>
        <v>2490</v>
      </c>
      <c r="M42">
        <v>2490</v>
      </c>
    </row>
    <row r="43" spans="2:13" x14ac:dyDescent="0.35">
      <c r="B43" s="2" t="s">
        <v>29</v>
      </c>
      <c r="C43">
        <f>SUM(C39:C42)</f>
        <v>740</v>
      </c>
      <c r="D43">
        <f t="shared" ref="D43:H43" si="3">SUM(D39:D42)</f>
        <v>888</v>
      </c>
      <c r="E43">
        <f t="shared" si="3"/>
        <v>696</v>
      </c>
      <c r="F43">
        <f t="shared" si="3"/>
        <v>673</v>
      </c>
      <c r="G43">
        <f t="shared" si="3"/>
        <v>861.99999999999989</v>
      </c>
      <c r="H43">
        <f t="shared" si="3"/>
        <v>516</v>
      </c>
    </row>
    <row r="44" spans="2:13" x14ac:dyDescent="0.35">
      <c r="B44" s="2" t="s">
        <v>30</v>
      </c>
      <c r="C44">
        <v>740</v>
      </c>
      <c r="D44">
        <v>888</v>
      </c>
      <c r="E44">
        <v>696</v>
      </c>
      <c r="F44">
        <v>673</v>
      </c>
      <c r="G44">
        <v>862</v>
      </c>
      <c r="H44">
        <v>516</v>
      </c>
      <c r="I44">
        <f>SUM(C44:H44)</f>
        <v>4375</v>
      </c>
    </row>
    <row r="46" spans="2:13" x14ac:dyDescent="0.35">
      <c r="B46" s="2" t="s">
        <v>38</v>
      </c>
      <c r="C46" s="3">
        <f>SUMPRODUCT(C31:H34,C39:H42)+SUM(L39:L42)</f>
        <v>20650.053942915638</v>
      </c>
    </row>
    <row r="47" spans="2:13" x14ac:dyDescent="0.35">
      <c r="J47">
        <f>SUM(J39:J42)</f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C45F8C38E2F7449B81D360E8EC28DF" ma:contentTypeVersion="14" ma:contentTypeDescription="Create a new document." ma:contentTypeScope="" ma:versionID="27debc36873ec148a9f4fc7174f4a13e">
  <xsd:schema xmlns:xsd="http://www.w3.org/2001/XMLSchema" xmlns:xs="http://www.w3.org/2001/XMLSchema" xmlns:p="http://schemas.microsoft.com/office/2006/metadata/properties" xmlns:ns3="580d1518-9a38-4efc-9256-c61c5ecdae13" xmlns:ns4="62775453-3938-4fc9-879a-0b66d953608e" targetNamespace="http://schemas.microsoft.com/office/2006/metadata/properties" ma:root="true" ma:fieldsID="c29a525084485e219bf7f171ab5ec2e6" ns3:_="" ns4:_="">
    <xsd:import namespace="580d1518-9a38-4efc-9256-c61c5ecdae13"/>
    <xsd:import namespace="62775453-3938-4fc9-879a-0b66d953608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ObjectDetectorVersions" minOccurs="0"/>
                <xsd:element ref="ns4:MediaServiceDateTaken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0d1518-9a38-4efc-9256-c61c5ecdae1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775453-3938-4fc9-879a-0b66d95360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2775453-3938-4fc9-879a-0b66d953608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8E9413-7F7D-45C2-BC55-4325C4667F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0d1518-9a38-4efc-9256-c61c5ecdae13"/>
    <ds:schemaRef ds:uri="62775453-3938-4fc9-879a-0b66d95360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291F27-299C-476E-A6FA-DDC7925103A6}">
  <ds:schemaRefs>
    <ds:schemaRef ds:uri="http://purl.org/dc/elements/1.1/"/>
    <ds:schemaRef ds:uri="http://schemas.microsoft.com/office/2006/metadata/properties"/>
    <ds:schemaRef ds:uri="62775453-3938-4fc9-879a-0b66d953608e"/>
    <ds:schemaRef ds:uri="http://purl.org/dc/terms/"/>
    <ds:schemaRef ds:uri="580d1518-9a38-4efc-9256-c61c5ecdae13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5F24D64-F498-45EF-858A-4453E429A8C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c853569-e95e-4378-8926-ab9501a771a3}" enabled="0" method="" siteId="{6c853569-e95e-4378-8926-ab9501a771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(2)</vt:lpstr>
      <vt:lpstr>Data</vt:lpstr>
      <vt:lpstr>Stipulations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Addison Morin</cp:lastModifiedBy>
  <dcterms:created xsi:type="dcterms:W3CDTF">2025-04-09T22:23:45Z</dcterms:created>
  <dcterms:modified xsi:type="dcterms:W3CDTF">2025-04-10T16:13:55Z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0x010100C0C45F8C38E2F7449B81D360E8EC28DF</vt:lpwstr>
  </property>
</Properties>
</file>