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udent\Desktop\Module 11\"/>
    </mc:Choice>
  </mc:AlternateContent>
  <xr:revisionPtr revIDLastSave="0" documentId="8_{353C7098-3DF4-4B9F-B047-81A3F339C04A}" xr6:coauthVersionLast="47" xr6:coauthVersionMax="47" xr10:uidLastSave="{00000000-0000-0000-0000-000000000000}"/>
  <bookViews>
    <workbookView xWindow="9510" yWindow="0" windowWidth="9780" windowHeight="10170" firstSheet="5" activeTab="5" xr2:uid="{C50255F7-4ED0-4B43-8C92-892A31A4756C}"/>
  </bookViews>
  <sheets>
    <sheet name="Model (2)" sheetId="9" r:id="rId1"/>
    <sheet name="Sales" sheetId="3" r:id="rId2"/>
    <sheet name="Fixed Order" sheetId="5" r:id="rId3"/>
    <sheet name="Purchase Cost" sheetId="7" r:id="rId4"/>
    <sheet name="Data" sheetId="1" r:id="rId5"/>
    <sheet name="Model" sheetId="2" r:id="rId6"/>
    <sheet name="Sawtooth Chart" sheetId="8" r:id="rId7"/>
  </sheets>
  <definedNames>
    <definedName name="solver_adj" localSheetId="5" hidden="1">Model!$C$9</definedName>
    <definedName name="solver_adj" localSheetId="0" hidden="1">'Model (2)'!$C$13,'Model (2)'!$C$9</definedName>
    <definedName name="solver_cvg" localSheetId="5" hidden="1">0.0001</definedName>
    <definedName name="solver_cvg" localSheetId="0" hidden="1">0.0001</definedName>
    <definedName name="solver_drv" localSheetId="5" hidden="1">1</definedName>
    <definedName name="solver_drv" localSheetId="0" hidden="1">1</definedName>
    <definedName name="solver_eng" localSheetId="5" hidden="1">1</definedName>
    <definedName name="solver_eng" localSheetId="0" hidden="1">1</definedName>
    <definedName name="solver_est" localSheetId="5" hidden="1">1</definedName>
    <definedName name="solver_est" localSheetId="0" hidden="1">1</definedName>
    <definedName name="solver_itr" localSheetId="5" hidden="1">2147483647</definedName>
    <definedName name="solver_itr" localSheetId="0" hidden="1">2147483647</definedName>
    <definedName name="solver_lhs1" localSheetId="5" hidden="1">Model!$C$9</definedName>
    <definedName name="solver_lhs1" localSheetId="0" hidden="1">'Model (2)'!$C$13</definedName>
    <definedName name="solver_lhs2" localSheetId="0" hidden="1">'Model (2)'!$C$9</definedName>
    <definedName name="solver_mip" localSheetId="5" hidden="1">2147483647</definedName>
    <definedName name="solver_mip" localSheetId="0" hidden="1">2147483647</definedName>
    <definedName name="solver_mni" localSheetId="5" hidden="1">30</definedName>
    <definedName name="solver_mni" localSheetId="0" hidden="1">30</definedName>
    <definedName name="solver_mrt" localSheetId="5" hidden="1">0.075</definedName>
    <definedName name="solver_mrt" localSheetId="0" hidden="1">0.075</definedName>
    <definedName name="solver_msl" localSheetId="5" hidden="1">2</definedName>
    <definedName name="solver_msl" localSheetId="0" hidden="1">2</definedName>
    <definedName name="solver_neg" localSheetId="5" hidden="1">1</definedName>
    <definedName name="solver_neg" localSheetId="0" hidden="1">1</definedName>
    <definedName name="solver_nod" localSheetId="5" hidden="1">2147483647</definedName>
    <definedName name="solver_nod" localSheetId="0" hidden="1">2147483647</definedName>
    <definedName name="solver_num" localSheetId="5" hidden="1">1</definedName>
    <definedName name="solver_num" localSheetId="0" hidden="1">2</definedName>
    <definedName name="solver_nwt" localSheetId="5" hidden="1">1</definedName>
    <definedName name="solver_nwt" localSheetId="0" hidden="1">1</definedName>
    <definedName name="solver_opt" localSheetId="5" hidden="1">Model!$C$14</definedName>
    <definedName name="solver_opt" localSheetId="0" hidden="1">'Model (2)'!$C$18</definedName>
    <definedName name="solver_pre" localSheetId="5" hidden="1">0.000001</definedName>
    <definedName name="solver_pre" localSheetId="0" hidden="1">0.000001</definedName>
    <definedName name="solver_rbv" localSheetId="5" hidden="1">1</definedName>
    <definedName name="solver_rbv" localSheetId="0" hidden="1">1</definedName>
    <definedName name="solver_rel1" localSheetId="5" hidden="1">3</definedName>
    <definedName name="solver_rel1" localSheetId="0" hidden="1">3</definedName>
    <definedName name="solver_rel2" localSheetId="0" hidden="1">3</definedName>
    <definedName name="solver_rhs1" localSheetId="5" hidden="1">1</definedName>
    <definedName name="solver_rhs1" localSheetId="0" hidden="1">1</definedName>
    <definedName name="solver_rhs2" localSheetId="0" hidden="1">1</definedName>
    <definedName name="solver_rlx" localSheetId="5" hidden="1">2</definedName>
    <definedName name="solver_rlx" localSheetId="0" hidden="1">2</definedName>
    <definedName name="solver_rsd" localSheetId="5" hidden="1">0</definedName>
    <definedName name="solver_rsd" localSheetId="0" hidden="1">0</definedName>
    <definedName name="solver_scl" localSheetId="5" hidden="1">1</definedName>
    <definedName name="solver_scl" localSheetId="0" hidden="1">1</definedName>
    <definedName name="solver_sho" localSheetId="5" hidden="1">2</definedName>
    <definedName name="solver_sho" localSheetId="0" hidden="1">2</definedName>
    <definedName name="solver_ssz" localSheetId="5" hidden="1">100</definedName>
    <definedName name="solver_ssz" localSheetId="0" hidden="1">100</definedName>
    <definedName name="solver_tim" localSheetId="5" hidden="1">2147483647</definedName>
    <definedName name="solver_tim" localSheetId="0" hidden="1">2147483647</definedName>
    <definedName name="solver_tol" localSheetId="5" hidden="1">0.01</definedName>
    <definedName name="solver_tol" localSheetId="0" hidden="1">0.01</definedName>
    <definedName name="solver_typ" localSheetId="5" hidden="1">2</definedName>
    <definedName name="solver_typ" localSheetId="0" hidden="1">2</definedName>
    <definedName name="solver_val" localSheetId="5" hidden="1">0</definedName>
    <definedName name="solver_val" localSheetId="0" hidden="1">0</definedName>
    <definedName name="solver_ver" localSheetId="5" hidden="1">3</definedName>
    <definedName name="solver_ver" localSheetId="0" hidden="1">3</definedName>
  </definedNames>
  <calcPr calcId="191029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9" l="1"/>
  <c r="C18" i="9" s="1"/>
  <c r="C16" i="9"/>
  <c r="C11" i="9"/>
  <c r="C17" i="9" s="1"/>
  <c r="C10" i="9"/>
  <c r="C20" i="9" s="1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2" i="8"/>
  <c r="C12" i="2"/>
  <c r="C13" i="2"/>
  <c r="C11" i="2"/>
  <c r="C14" i="2" l="1"/>
</calcChain>
</file>

<file path=xl/sharedStrings.xml><?xml version="1.0" encoding="utf-8"?>
<sst xmlns="http://schemas.openxmlformats.org/spreadsheetml/2006/main" count="60" uniqueCount="40">
  <si>
    <t>holding_cost_rate</t>
  </si>
  <si>
    <t>shortage_cost</t>
  </si>
  <si>
    <t>date</t>
  </si>
  <si>
    <t>sales</t>
  </si>
  <si>
    <t>unit_purchase_cost</t>
  </si>
  <si>
    <t>fixed_order_cost</t>
  </si>
  <si>
    <t>Annual Demand</t>
  </si>
  <si>
    <t>Cost per Unit</t>
  </si>
  <si>
    <t>Cost per Order</t>
  </si>
  <si>
    <t>Holding Cost</t>
  </si>
  <si>
    <t>Order Quantity</t>
  </si>
  <si>
    <t>Purchasing Cost</t>
  </si>
  <si>
    <t>Cost of Ordering</t>
  </si>
  <si>
    <t>Inventory Cost</t>
  </si>
  <si>
    <t xml:space="preserve">Total Cost </t>
  </si>
  <si>
    <t>Sum of sales</t>
  </si>
  <si>
    <t>Row Labels</t>
  </si>
  <si>
    <t>Grand Total</t>
  </si>
  <si>
    <t>&lt;1/1/2022</t>
  </si>
  <si>
    <t>2022</t>
  </si>
  <si>
    <t>2023</t>
  </si>
  <si>
    <t>2024</t>
  </si>
  <si>
    <t>Average of fixed_order_cost</t>
  </si>
  <si>
    <t>Average of unit_purchase_cost</t>
  </si>
  <si>
    <t>Date</t>
  </si>
  <si>
    <t>Inventory</t>
  </si>
  <si>
    <t>Demand</t>
  </si>
  <si>
    <t>EOD Inv</t>
  </si>
  <si>
    <t>Shortage Cost</t>
  </si>
  <si>
    <t xml:space="preserve">Backorders </t>
  </si>
  <si>
    <t>A</t>
  </si>
  <si>
    <t>Q</t>
  </si>
  <si>
    <t>B</t>
  </si>
  <si>
    <t>Starting EOQ</t>
  </si>
  <si>
    <t>D</t>
  </si>
  <si>
    <t>C</t>
  </si>
  <si>
    <t>S</t>
  </si>
  <si>
    <t>I</t>
  </si>
  <si>
    <t>Total relevant Cost</t>
  </si>
  <si>
    <t>Planned 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</si>
</sst>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4" fontId="0" fillId="0" borderId="0" xfId="0" applyNumberFormat="1"/>
    <xf numFmtId="0" fontId="0" fillId="8" borderId="8" xfId="17" applyFon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1" applyNumberFormat="1" applyFont="1"/>
    <xf numFmtId="9" fontId="0" fillId="0" borderId="0" xfId="2" applyFont="1"/>
    <xf numFmtId="164" fontId="0" fillId="0" borderId="0" xfId="0" applyNumberFormat="1"/>
    <xf numFmtId="164" fontId="0" fillId="8" borderId="8" xfId="17" applyNumberFormat="1" applyFont="1"/>
    <xf numFmtId="1" fontId="0" fillId="0" borderId="0" xfId="0" applyNumberFormat="1"/>
    <xf numFmtId="1" fontId="0" fillId="0" borderId="0" xfId="1" applyNumberFormat="1" applyFont="1"/>
    <xf numFmtId="1" fontId="0" fillId="8" borderId="8" xfId="17" applyNumberFormat="1" applyFont="1"/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urrency" xfId="1" builtinId="4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Percent" xfId="2" builtinId="5"/>
    <cellStyle name="Title" xfId="3" builtinId="15" customBuiltin="1"/>
    <cellStyle name="Total" xfId="19" builtinId="25" customBuiltin="1"/>
    <cellStyle name="Warning Text" xfId="1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11.xlsx]Sales!PivotTable1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Sales!$B$3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Sales!$A$4:$A$8</c:f>
              <c:strCache>
                <c:ptCount val="4"/>
                <c:pt idx="0">
                  <c:v>&lt;1/1/2022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strCache>
            </c:strRef>
          </c:cat>
          <c:val>
            <c:numRef>
              <c:f>Sales!$B$4:$B$8</c:f>
              <c:numCache>
                <c:formatCode>General</c:formatCode>
                <c:ptCount val="4"/>
                <c:pt idx="1">
                  <c:v>8531</c:v>
                </c:pt>
                <c:pt idx="2">
                  <c:v>12884</c:v>
                </c:pt>
                <c:pt idx="3">
                  <c:v>17365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CF-4E88-BFA2-AC3A0138FF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7456768"/>
        <c:axId val="1037457128"/>
      </c:lineChart>
      <c:catAx>
        <c:axId val="1037456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457128"/>
        <c:crosses val="autoZero"/>
        <c:auto val="1"/>
        <c:lblAlgn val="ctr"/>
        <c:lblOffset val="100"/>
        <c:noMultiLvlLbl val="0"/>
      </c:catAx>
      <c:valAx>
        <c:axId val="1037457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456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11.xlsx]Fixed Order!PivotTable3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'Fixed Order'!$B$3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'Fixed Order'!$A$4:$A$8</c:f>
              <c:strCache>
                <c:ptCount val="4"/>
                <c:pt idx="0">
                  <c:v>&lt;1/1/2022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strCache>
            </c:strRef>
          </c:cat>
          <c:val>
            <c:numRef>
              <c:f>'Fixed Order'!$B$4:$B$8</c:f>
              <c:numCache>
                <c:formatCode>General</c:formatCode>
                <c:ptCount val="4"/>
                <c:pt idx="1">
                  <c:v>184.94569863013692</c:v>
                </c:pt>
                <c:pt idx="2">
                  <c:v>184.68479452054797</c:v>
                </c:pt>
                <c:pt idx="3">
                  <c:v>183.93114754098337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24-47BA-8060-F2BC3C4D84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0004336"/>
        <c:axId val="1030002896"/>
      </c:lineChart>
      <c:catAx>
        <c:axId val="1030004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0002896"/>
        <c:crosses val="autoZero"/>
        <c:auto val="1"/>
        <c:lblAlgn val="ctr"/>
        <c:lblOffset val="100"/>
        <c:noMultiLvlLbl val="0"/>
      </c:catAx>
      <c:valAx>
        <c:axId val="1030002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0004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11.xlsx]Purchase Cost!PivotTable4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'Purchase Cost'!$B$3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'Purchase Cost'!$A$4:$A$8</c:f>
              <c:strCache>
                <c:ptCount val="4"/>
                <c:pt idx="0">
                  <c:v>&lt;1/1/2022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strCache>
            </c:strRef>
          </c:cat>
          <c:val>
            <c:numRef>
              <c:f>'Purchase Cost'!$B$4:$B$8</c:f>
              <c:numCache>
                <c:formatCode>General</c:formatCode>
                <c:ptCount val="4"/>
                <c:pt idx="1">
                  <c:v>50.040465753424698</c:v>
                </c:pt>
                <c:pt idx="2">
                  <c:v>46.478630136986276</c:v>
                </c:pt>
                <c:pt idx="3">
                  <c:v>43.110218579234996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07-4648-B792-00F075DC1D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1876512"/>
        <c:axId val="1041876872"/>
      </c:lineChart>
      <c:catAx>
        <c:axId val="1041876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876872"/>
        <c:crosses val="autoZero"/>
        <c:auto val="1"/>
        <c:lblAlgn val="ctr"/>
        <c:lblOffset val="100"/>
        <c:noMultiLvlLbl val="0"/>
      </c:catAx>
      <c:valAx>
        <c:axId val="1041876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876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557389</xdr:colOff>
      <xdr:row>6</xdr:row>
      <xdr:rowOff>14110</xdr:rowOff>
    </xdr:from>
    <xdr:to>
      <xdr:col>12</xdr:col>
      <xdr:colOff>577144</xdr:colOff>
      <xdr:row>9</xdr:row>
      <xdr:rowOff>174977</xdr:rowOff>
    </xdr:to>
    <xdr:pic>
      <xdr:nvPicPr>
        <xdr:cNvPr id="2" name="Picture 1" descr="A math equation with white letters&#10;&#10;AI-generated content may be incorrect.">
          <a:extLst>
            <a:ext uri="{FF2B5EF4-FFF2-40B4-BE49-F238E27FC236}">
              <a16:creationId xmlns:a16="http://schemas.microsoft.com/office/drawing/2014/main" id="{8411C578-5F0F-03F0-CB49-C06DCA4559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32111" y="1114777"/>
          <a:ext cx="4267200" cy="7112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603250</xdr:colOff>
      <xdr:row>2</xdr:row>
      <xdr:rowOff>6350</xdr:rowOff>
    </xdr:from>
    <xdr:to>
      <xdr:col>10</xdr:col>
      <xdr:colOff>298450</xdr:colOff>
      <xdr:row>16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A46F92-2111-6BCD-FED3-6BA4E70335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603250</xdr:colOff>
      <xdr:row>2</xdr:row>
      <xdr:rowOff>6350</xdr:rowOff>
    </xdr:from>
    <xdr:to>
      <xdr:col>10</xdr:col>
      <xdr:colOff>298450</xdr:colOff>
      <xdr:row>16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19082B-F2A3-CBB9-DB84-8316E01221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603250</xdr:colOff>
      <xdr:row>1</xdr:row>
      <xdr:rowOff>177800</xdr:rowOff>
    </xdr:from>
    <xdr:to>
      <xdr:col>9</xdr:col>
      <xdr:colOff>139700</xdr:colOff>
      <xdr:row>14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A8DAC8-E68B-6610-048E-0CCCD0FCD4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596900</xdr:colOff>
      <xdr:row>1</xdr:row>
      <xdr:rowOff>16510</xdr:rowOff>
    </xdr:from>
    <xdr:to>
      <xdr:col>16</xdr:col>
      <xdr:colOff>527050</xdr:colOff>
      <xdr:row>15</xdr:row>
      <xdr:rowOff>92709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3932380-515C-6802-B388-5012D0CB99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44900" y="200660"/>
          <a:ext cx="6635750" cy="2654299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udent" refreshedDate="45770.785884375" createdVersion="8" refreshedVersion="8" minRefreshableVersion="3" recordCount="1097" xr:uid="{F8BCF61B-0A1C-47B9-9372-E84B0C9D5F45}">
  <cacheSource type="worksheet">
    <worksheetSource ref="D1:G1048576" sheet="Data"/>
  </cacheSource>
  <cacheFields count="7">
    <cacheField name="date" numFmtId="0">
      <sharedItems containsNonDate="0" containsDate="1" containsString="0" containsBlank="1" minDate="2022-01-01T00:00:00" maxDate="2025-01-01T00:00:00" count="1097">
        <d v="2022-01-01T00:00:00"/>
        <d v="2022-01-02T00:00:00"/>
        <d v="2022-01-03T00:00:00"/>
        <d v="2022-01-04T00:00:00"/>
        <d v="2022-01-05T00:00:00"/>
        <d v="2022-01-06T00:00:00"/>
        <d v="2022-01-07T00:00:00"/>
        <d v="2022-01-08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7T00:00:00"/>
        <d v="2022-01-18T00:00:00"/>
        <d v="2022-01-19T00:00:00"/>
        <d v="2022-01-20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3-01T00:00:00"/>
        <d v="2022-03-02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5T00:00:00"/>
        <d v="2022-03-16T00:00:00"/>
        <d v="2022-03-17T00:00:00"/>
        <d v="2022-03-18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3-31T00:00:00"/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4-17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1T00:00:00"/>
        <d v="2022-10-12T00:00:00"/>
        <d v="2022-10-13T00:00:00"/>
        <d v="2022-10-14T00:00:00"/>
        <d v="2022-10-15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2-29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  <m/>
      </sharedItems>
      <fieldGroup par="6"/>
    </cacheField>
    <cacheField name="sales" numFmtId="0">
      <sharedItems containsString="0" containsBlank="1" containsNumber="1" containsInteger="1" minValue="12" maxValue="60"/>
    </cacheField>
    <cacheField name="unit_purchase_cost" numFmtId="0">
      <sharedItems containsString="0" containsBlank="1" containsNumber="1" minValue="32.06" maxValue="60.84"/>
    </cacheField>
    <cacheField name="fixed_order_cost" numFmtId="0">
      <sharedItems containsString="0" containsBlank="1" containsNumber="1" minValue="134.96" maxValue="234.68"/>
    </cacheField>
    <cacheField name="Months (date)" numFmtId="0" databaseField="0">
      <fieldGroup base="0">
        <rangePr groupBy="months" startDate="2022-01-01T00:00:00" endDate="2025-01-01T00:00:00"/>
        <groupItems count="14">
          <s v="&lt;1/1/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5"/>
        </groupItems>
      </fieldGroup>
    </cacheField>
    <cacheField name="Quarters (date)" numFmtId="0" databaseField="0">
      <fieldGroup base="0">
        <rangePr groupBy="quarters" startDate="2022-01-01T00:00:00" endDate="2025-01-01T00:00:00"/>
        <groupItems count="6">
          <s v="&lt;1/1/2022"/>
          <s v="Qtr1"/>
          <s v="Qtr2"/>
          <s v="Qtr3"/>
          <s v="Qtr4"/>
          <s v="&gt;1/1/2025"/>
        </groupItems>
      </fieldGroup>
    </cacheField>
    <cacheField name="Years (date)" numFmtId="0" databaseField="0">
      <fieldGroup base="0">
        <rangePr groupBy="years" startDate="2022-01-01T00:00:00" endDate="2025-01-01T00:00:00"/>
        <groupItems count="6">
          <s v="&lt;1/1/2022"/>
          <s v="2022"/>
          <s v="2023"/>
          <s v="2024"/>
          <s v="2025"/>
          <s v="&gt;1/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7">
  <r>
    <x v="0"/>
    <n v="17"/>
    <n v="47.44"/>
    <n v="148.22999999999999"/>
  </r>
  <r>
    <x v="1"/>
    <n v="21"/>
    <n v="57.51"/>
    <n v="230.97"/>
  </r>
  <r>
    <x v="2"/>
    <n v="16"/>
    <n v="46.21"/>
    <n v="148.57"/>
  </r>
  <r>
    <x v="3"/>
    <n v="16"/>
    <n v="46.98"/>
    <n v="229.73"/>
  </r>
  <r>
    <x v="4"/>
    <n v="20"/>
    <n v="58.79"/>
    <n v="231.51"/>
  </r>
  <r>
    <x v="5"/>
    <n v="12"/>
    <n v="55.08"/>
    <n v="190.44"/>
  </r>
  <r>
    <x v="6"/>
    <n v="23"/>
    <n v="50.97"/>
    <n v="188.96"/>
  </r>
  <r>
    <x v="7"/>
    <n v="22"/>
    <n v="53.75"/>
    <n v="143.65"/>
  </r>
  <r>
    <x v="8"/>
    <n v="21"/>
    <n v="46.45"/>
    <n v="138.03"/>
  </r>
  <r>
    <x v="9"/>
    <n v="21"/>
    <n v="49.44"/>
    <n v="192.31"/>
  </r>
  <r>
    <x v="10"/>
    <n v="22"/>
    <n v="42.6"/>
    <n v="173.74"/>
  </r>
  <r>
    <x v="11"/>
    <n v="15"/>
    <n v="52.31"/>
    <n v="162.93"/>
  </r>
  <r>
    <x v="12"/>
    <n v="20"/>
    <n v="49.92"/>
    <n v="203.16"/>
  </r>
  <r>
    <x v="13"/>
    <n v="12"/>
    <n v="47.36"/>
    <n v="191.77"/>
  </r>
  <r>
    <x v="14"/>
    <n v="22"/>
    <n v="48.29"/>
    <n v="225.66"/>
  </r>
  <r>
    <x v="15"/>
    <n v="15"/>
    <n v="57.06"/>
    <n v="231.21"/>
  </r>
  <r>
    <x v="16"/>
    <n v="22"/>
    <n v="60.18"/>
    <n v="142.75"/>
  </r>
  <r>
    <x v="17"/>
    <n v="16"/>
    <n v="50.65"/>
    <n v="159.58000000000001"/>
  </r>
  <r>
    <x v="18"/>
    <n v="21"/>
    <n v="43.96"/>
    <n v="200.92"/>
  </r>
  <r>
    <x v="19"/>
    <n v="12"/>
    <n v="55.02"/>
    <n v="155.94"/>
  </r>
  <r>
    <x v="20"/>
    <n v="22"/>
    <n v="59.55"/>
    <n v="157.28"/>
  </r>
  <r>
    <x v="21"/>
    <n v="22"/>
    <n v="43.12"/>
    <n v="199.84"/>
  </r>
  <r>
    <x v="22"/>
    <n v="18"/>
    <n v="52.7"/>
    <n v="170.37"/>
  </r>
  <r>
    <x v="23"/>
    <n v="21"/>
    <n v="53.09"/>
    <n v="217.78"/>
  </r>
  <r>
    <x v="24"/>
    <n v="19"/>
    <n v="53.62"/>
    <n v="209.51"/>
  </r>
  <r>
    <x v="25"/>
    <n v="19"/>
    <n v="54.6"/>
    <n v="143.29"/>
  </r>
  <r>
    <x v="26"/>
    <n v="18"/>
    <n v="48.54"/>
    <n v="149.59"/>
  </r>
  <r>
    <x v="27"/>
    <n v="18"/>
    <n v="60.6"/>
    <n v="193.39"/>
  </r>
  <r>
    <x v="28"/>
    <n v="13"/>
    <n v="51.76"/>
    <n v="177.6"/>
  </r>
  <r>
    <x v="29"/>
    <n v="19"/>
    <n v="48.85"/>
    <n v="185.9"/>
  </r>
  <r>
    <x v="30"/>
    <n v="21"/>
    <n v="50.9"/>
    <n v="164.73"/>
  </r>
  <r>
    <x v="31"/>
    <n v="18"/>
    <n v="49.38"/>
    <n v="161.22999999999999"/>
  </r>
  <r>
    <x v="32"/>
    <n v="24"/>
    <n v="43.33"/>
    <n v="226.16"/>
  </r>
  <r>
    <x v="33"/>
    <n v="19"/>
    <n v="55.94"/>
    <n v="191.35"/>
  </r>
  <r>
    <x v="34"/>
    <n v="21"/>
    <n v="53.34"/>
    <n v="232.61"/>
  </r>
  <r>
    <x v="35"/>
    <n v="24"/>
    <n v="43.21"/>
    <n v="185.85"/>
  </r>
  <r>
    <x v="36"/>
    <n v="18"/>
    <n v="60.17"/>
    <n v="193.04"/>
  </r>
  <r>
    <x v="37"/>
    <n v="21"/>
    <n v="47.95"/>
    <n v="146.96"/>
  </r>
  <r>
    <x v="38"/>
    <n v="24"/>
    <n v="56.97"/>
    <n v="226.21"/>
  </r>
  <r>
    <x v="39"/>
    <n v="14"/>
    <n v="46.64"/>
    <n v="169.78"/>
  </r>
  <r>
    <x v="40"/>
    <n v="15"/>
    <n v="54.45"/>
    <n v="149.09"/>
  </r>
  <r>
    <x v="41"/>
    <n v="17"/>
    <n v="47.88"/>
    <n v="173.07"/>
  </r>
  <r>
    <x v="42"/>
    <n v="18"/>
    <n v="55.68"/>
    <n v="199.43"/>
  </r>
  <r>
    <x v="43"/>
    <n v="17"/>
    <n v="43.61"/>
    <n v="214.68"/>
  </r>
  <r>
    <x v="44"/>
    <n v="15"/>
    <n v="60.5"/>
    <n v="163.65"/>
  </r>
  <r>
    <x v="45"/>
    <n v="25"/>
    <n v="57.33"/>
    <n v="225.07"/>
  </r>
  <r>
    <x v="46"/>
    <n v="15"/>
    <n v="52.69"/>
    <n v="167.21"/>
  </r>
  <r>
    <x v="47"/>
    <n v="21"/>
    <n v="43.66"/>
    <n v="187.64"/>
  </r>
  <r>
    <x v="48"/>
    <n v="20"/>
    <n v="47.51"/>
    <n v="149.36000000000001"/>
  </r>
  <r>
    <x v="49"/>
    <n v="23"/>
    <n v="46.78"/>
    <n v="146.61000000000001"/>
  </r>
  <r>
    <x v="50"/>
    <n v="20"/>
    <n v="44.86"/>
    <n v="186.82"/>
  </r>
  <r>
    <x v="51"/>
    <n v="14"/>
    <n v="55.15"/>
    <n v="198.42"/>
  </r>
  <r>
    <x v="52"/>
    <n v="25"/>
    <n v="55.63"/>
    <n v="137.91"/>
  </r>
  <r>
    <x v="53"/>
    <n v="19"/>
    <n v="43.1"/>
    <n v="207.63"/>
  </r>
  <r>
    <x v="54"/>
    <n v="17"/>
    <n v="54.76"/>
    <n v="174.91"/>
  </r>
  <r>
    <x v="55"/>
    <n v="14"/>
    <n v="43.44"/>
    <n v="160.84"/>
  </r>
  <r>
    <x v="56"/>
    <n v="13"/>
    <n v="53.25"/>
    <n v="226.86"/>
  </r>
  <r>
    <x v="57"/>
    <n v="18"/>
    <n v="58.38"/>
    <n v="198.24"/>
  </r>
  <r>
    <x v="58"/>
    <n v="14"/>
    <n v="43.31"/>
    <n v="230.52"/>
  </r>
  <r>
    <x v="59"/>
    <n v="23"/>
    <n v="60.84"/>
    <n v="222.32"/>
  </r>
  <r>
    <x v="60"/>
    <n v="19"/>
    <n v="51.3"/>
    <n v="210.74"/>
  </r>
  <r>
    <x v="61"/>
    <n v="18"/>
    <n v="44"/>
    <n v="214.01"/>
  </r>
  <r>
    <x v="62"/>
    <n v="18"/>
    <n v="41.48"/>
    <n v="234.37"/>
  </r>
  <r>
    <x v="63"/>
    <n v="24"/>
    <n v="59.71"/>
    <n v="169.16"/>
  </r>
  <r>
    <x v="64"/>
    <n v="24"/>
    <n v="53.08"/>
    <n v="209.79"/>
  </r>
  <r>
    <x v="65"/>
    <n v="15"/>
    <n v="58.12"/>
    <n v="137.08000000000001"/>
  </r>
  <r>
    <x v="66"/>
    <n v="19"/>
    <n v="57.85"/>
    <n v="180.68"/>
  </r>
  <r>
    <x v="67"/>
    <n v="21"/>
    <n v="57.17"/>
    <n v="154.53"/>
  </r>
  <r>
    <x v="68"/>
    <n v="21"/>
    <n v="48.22"/>
    <n v="207.85"/>
  </r>
  <r>
    <x v="69"/>
    <n v="21"/>
    <n v="58.46"/>
    <n v="170.46"/>
  </r>
  <r>
    <x v="70"/>
    <n v="21"/>
    <n v="44.52"/>
    <n v="199.42"/>
  </r>
  <r>
    <x v="71"/>
    <n v="18"/>
    <n v="42.16"/>
    <n v="165.4"/>
  </r>
  <r>
    <x v="72"/>
    <n v="20"/>
    <n v="60.2"/>
    <n v="231.67"/>
  </r>
  <r>
    <x v="73"/>
    <n v="21"/>
    <n v="58.51"/>
    <n v="189.03"/>
  </r>
  <r>
    <x v="74"/>
    <n v="24"/>
    <n v="47.89"/>
    <n v="172.53"/>
  </r>
  <r>
    <x v="75"/>
    <n v="26"/>
    <n v="53.12"/>
    <n v="221.87"/>
  </r>
  <r>
    <x v="76"/>
    <n v="25"/>
    <n v="60.7"/>
    <n v="174.07"/>
  </r>
  <r>
    <x v="77"/>
    <n v="24"/>
    <n v="54.96"/>
    <n v="158.71"/>
  </r>
  <r>
    <x v="78"/>
    <n v="26"/>
    <n v="54.3"/>
    <n v="234.68"/>
  </r>
  <r>
    <x v="79"/>
    <n v="21"/>
    <n v="48.47"/>
    <n v="204.68"/>
  </r>
  <r>
    <x v="80"/>
    <n v="17"/>
    <n v="45.62"/>
    <n v="170.83"/>
  </r>
  <r>
    <x v="81"/>
    <n v="22"/>
    <n v="55.51"/>
    <n v="185.03"/>
  </r>
  <r>
    <x v="82"/>
    <n v="24"/>
    <n v="51.95"/>
    <n v="234.62"/>
  </r>
  <r>
    <x v="83"/>
    <n v="18"/>
    <n v="45.32"/>
    <n v="190.16"/>
  </r>
  <r>
    <x v="84"/>
    <n v="19"/>
    <n v="51.62"/>
    <n v="228.05"/>
  </r>
  <r>
    <x v="85"/>
    <n v="25"/>
    <n v="49.92"/>
    <n v="165.75"/>
  </r>
  <r>
    <x v="86"/>
    <n v="14"/>
    <n v="55.26"/>
    <n v="191.84"/>
  </r>
  <r>
    <x v="87"/>
    <n v="26"/>
    <n v="40.799999999999997"/>
    <n v="139.72999999999999"/>
  </r>
  <r>
    <x v="88"/>
    <n v="18"/>
    <n v="42.45"/>
    <n v="183.74"/>
  </r>
  <r>
    <x v="89"/>
    <n v="23"/>
    <n v="59.74"/>
    <n v="225.59"/>
  </r>
  <r>
    <x v="90"/>
    <n v="21"/>
    <n v="45.42"/>
    <n v="160.22999999999999"/>
  </r>
  <r>
    <x v="91"/>
    <n v="18"/>
    <n v="58.59"/>
    <n v="211.84"/>
  </r>
  <r>
    <x v="92"/>
    <n v="19"/>
    <n v="56.8"/>
    <n v="151.29"/>
  </r>
  <r>
    <x v="93"/>
    <n v="19"/>
    <n v="43.82"/>
    <n v="148.58000000000001"/>
  </r>
  <r>
    <x v="94"/>
    <n v="19"/>
    <n v="58.27"/>
    <n v="168.48"/>
  </r>
  <r>
    <x v="95"/>
    <n v="24"/>
    <n v="56.76"/>
    <n v="230.33"/>
  </r>
  <r>
    <x v="96"/>
    <n v="20"/>
    <n v="55.09"/>
    <n v="180.61"/>
  </r>
  <r>
    <x v="97"/>
    <n v="22"/>
    <n v="52.75"/>
    <n v="186.89"/>
  </r>
  <r>
    <x v="98"/>
    <n v="25"/>
    <n v="52.64"/>
    <n v="139.94999999999999"/>
  </r>
  <r>
    <x v="99"/>
    <n v="26"/>
    <n v="48.88"/>
    <n v="157.16"/>
  </r>
  <r>
    <x v="100"/>
    <n v="24"/>
    <n v="58.52"/>
    <n v="145.5"/>
  </r>
  <r>
    <x v="101"/>
    <n v="24"/>
    <n v="56.25"/>
    <n v="175.88"/>
  </r>
  <r>
    <x v="102"/>
    <n v="24"/>
    <n v="56.41"/>
    <n v="181.94"/>
  </r>
  <r>
    <x v="103"/>
    <n v="21"/>
    <n v="58.21"/>
    <n v="200.58"/>
  </r>
  <r>
    <x v="104"/>
    <n v="17"/>
    <n v="52.68"/>
    <n v="233.27"/>
  </r>
  <r>
    <x v="105"/>
    <n v="22"/>
    <n v="42.44"/>
    <n v="199.38"/>
  </r>
  <r>
    <x v="106"/>
    <n v="16"/>
    <n v="53.97"/>
    <n v="179.87"/>
  </r>
  <r>
    <x v="107"/>
    <n v="22"/>
    <n v="58.72"/>
    <n v="215.05"/>
  </r>
  <r>
    <x v="108"/>
    <n v="24"/>
    <n v="45.63"/>
    <n v="172.37"/>
  </r>
  <r>
    <x v="109"/>
    <n v="20"/>
    <n v="47.94"/>
    <n v="192.32"/>
  </r>
  <r>
    <x v="110"/>
    <n v="25"/>
    <n v="53.05"/>
    <n v="197.76"/>
  </r>
  <r>
    <x v="111"/>
    <n v="22"/>
    <n v="57.65"/>
    <n v="180.52"/>
  </r>
  <r>
    <x v="112"/>
    <n v="17"/>
    <n v="48.5"/>
    <n v="202.56"/>
  </r>
  <r>
    <x v="113"/>
    <n v="26"/>
    <n v="40.950000000000003"/>
    <n v="172.35"/>
  </r>
  <r>
    <x v="114"/>
    <n v="16"/>
    <n v="45.27"/>
    <n v="154.38"/>
  </r>
  <r>
    <x v="115"/>
    <n v="24"/>
    <n v="48.68"/>
    <n v="199.6"/>
  </r>
  <r>
    <x v="116"/>
    <n v="18"/>
    <n v="46.02"/>
    <n v="192.25"/>
  </r>
  <r>
    <x v="117"/>
    <n v="21"/>
    <n v="46.67"/>
    <n v="135.13"/>
  </r>
  <r>
    <x v="118"/>
    <n v="21"/>
    <n v="53.86"/>
    <n v="169.98"/>
  </r>
  <r>
    <x v="119"/>
    <n v="18"/>
    <n v="45.27"/>
    <n v="170.63"/>
  </r>
  <r>
    <x v="120"/>
    <n v="17"/>
    <n v="45.42"/>
    <n v="199.15"/>
  </r>
  <r>
    <x v="121"/>
    <n v="23"/>
    <n v="41.95"/>
    <n v="229.86"/>
  </r>
  <r>
    <x v="122"/>
    <n v="23"/>
    <n v="53.21"/>
    <n v="182.96"/>
  </r>
  <r>
    <x v="123"/>
    <n v="20"/>
    <n v="44.47"/>
    <n v="161.16"/>
  </r>
  <r>
    <x v="124"/>
    <n v="21"/>
    <n v="53.14"/>
    <n v="198.64"/>
  </r>
  <r>
    <x v="125"/>
    <n v="18"/>
    <n v="55.03"/>
    <n v="231.94"/>
  </r>
  <r>
    <x v="126"/>
    <n v="17"/>
    <n v="54.03"/>
    <n v="173.87"/>
  </r>
  <r>
    <x v="127"/>
    <n v="19"/>
    <n v="41.32"/>
    <n v="136.32"/>
  </r>
  <r>
    <x v="128"/>
    <n v="25"/>
    <n v="49.9"/>
    <n v="152.76"/>
  </r>
  <r>
    <x v="129"/>
    <n v="20"/>
    <n v="59.57"/>
    <n v="215.66"/>
  </r>
  <r>
    <x v="130"/>
    <n v="17"/>
    <n v="56.69"/>
    <n v="189.96"/>
  </r>
  <r>
    <x v="131"/>
    <n v="25"/>
    <n v="56.21"/>
    <n v="142.24"/>
  </r>
  <r>
    <x v="132"/>
    <n v="22"/>
    <n v="53.14"/>
    <n v="155.5"/>
  </r>
  <r>
    <x v="133"/>
    <n v="21"/>
    <n v="59.1"/>
    <n v="207.31"/>
  </r>
  <r>
    <x v="134"/>
    <n v="27"/>
    <n v="43.85"/>
    <n v="188.06"/>
  </r>
  <r>
    <x v="135"/>
    <n v="26"/>
    <n v="59.13"/>
    <n v="214.16"/>
  </r>
  <r>
    <x v="136"/>
    <n v="22"/>
    <n v="60.04"/>
    <n v="137.24"/>
  </r>
  <r>
    <x v="137"/>
    <n v="25"/>
    <n v="59.2"/>
    <n v="186.58"/>
  </r>
  <r>
    <x v="138"/>
    <n v="22"/>
    <n v="48.03"/>
    <n v="154.01"/>
  </r>
  <r>
    <x v="139"/>
    <n v="26"/>
    <n v="53.24"/>
    <n v="167.57"/>
  </r>
  <r>
    <x v="140"/>
    <n v="19"/>
    <n v="59.12"/>
    <n v="223.92"/>
  </r>
  <r>
    <x v="141"/>
    <n v="19"/>
    <n v="45.56"/>
    <n v="158.71"/>
  </r>
  <r>
    <x v="142"/>
    <n v="19"/>
    <n v="40.57"/>
    <n v="139.4"/>
  </r>
  <r>
    <x v="143"/>
    <n v="21"/>
    <n v="58.17"/>
    <n v="143.44999999999999"/>
  </r>
  <r>
    <x v="144"/>
    <n v="19"/>
    <n v="58.43"/>
    <n v="165.86"/>
  </r>
  <r>
    <x v="145"/>
    <n v="17"/>
    <n v="58.24"/>
    <n v="145.18"/>
  </r>
  <r>
    <x v="146"/>
    <n v="17"/>
    <n v="55.43"/>
    <n v="195.74"/>
  </r>
  <r>
    <x v="147"/>
    <n v="20"/>
    <n v="40.369999999999997"/>
    <n v="159.66999999999999"/>
  </r>
  <r>
    <x v="148"/>
    <n v="17"/>
    <n v="58.51"/>
    <n v="150.69"/>
  </r>
  <r>
    <x v="149"/>
    <n v="21"/>
    <n v="46.26"/>
    <n v="154.59"/>
  </r>
  <r>
    <x v="150"/>
    <n v="24"/>
    <n v="45.39"/>
    <n v="176.92"/>
  </r>
  <r>
    <x v="151"/>
    <n v="26"/>
    <n v="41.01"/>
    <n v="161.85"/>
  </r>
  <r>
    <x v="152"/>
    <n v="19"/>
    <n v="54.33"/>
    <n v="141.83000000000001"/>
  </r>
  <r>
    <x v="153"/>
    <n v="22"/>
    <n v="40.61"/>
    <n v="189"/>
  </r>
  <r>
    <x v="154"/>
    <n v="28"/>
    <n v="43.35"/>
    <n v="184.16"/>
  </r>
  <r>
    <x v="155"/>
    <n v="28"/>
    <n v="60.1"/>
    <n v="157.43"/>
  </r>
  <r>
    <x v="156"/>
    <n v="19"/>
    <n v="46.26"/>
    <n v="155.82"/>
  </r>
  <r>
    <x v="157"/>
    <n v="21"/>
    <n v="43.56"/>
    <n v="230.91"/>
  </r>
  <r>
    <x v="158"/>
    <n v="18"/>
    <n v="47.94"/>
    <n v="225.04"/>
  </r>
  <r>
    <x v="159"/>
    <n v="19"/>
    <n v="46.12"/>
    <n v="199.36"/>
  </r>
  <r>
    <x v="160"/>
    <n v="26"/>
    <n v="58.04"/>
    <n v="158.91999999999999"/>
  </r>
  <r>
    <x v="161"/>
    <n v="27"/>
    <n v="48.05"/>
    <n v="173.75"/>
  </r>
  <r>
    <x v="162"/>
    <n v="23"/>
    <n v="44.42"/>
    <n v="198.44"/>
  </r>
  <r>
    <x v="163"/>
    <n v="23"/>
    <n v="41.79"/>
    <n v="183.71"/>
  </r>
  <r>
    <x v="164"/>
    <n v="19"/>
    <n v="56.55"/>
    <n v="196.07"/>
  </r>
  <r>
    <x v="165"/>
    <n v="18"/>
    <n v="46.49"/>
    <n v="175.12"/>
  </r>
  <r>
    <x v="166"/>
    <n v="18"/>
    <n v="42.24"/>
    <n v="153.85"/>
  </r>
  <r>
    <x v="167"/>
    <n v="19"/>
    <n v="40.65"/>
    <n v="196.79"/>
  </r>
  <r>
    <x v="168"/>
    <n v="23"/>
    <n v="52.1"/>
    <n v="178.28"/>
  </r>
  <r>
    <x v="169"/>
    <n v="25"/>
    <n v="58.89"/>
    <n v="232.02"/>
  </r>
  <r>
    <x v="170"/>
    <n v="20"/>
    <n v="50.63"/>
    <n v="217.44"/>
  </r>
  <r>
    <x v="171"/>
    <n v="18"/>
    <n v="51.77"/>
    <n v="160.91"/>
  </r>
  <r>
    <x v="172"/>
    <n v="28"/>
    <n v="42.95"/>
    <n v="164.14"/>
  </r>
  <r>
    <x v="173"/>
    <n v="26"/>
    <n v="51.61"/>
    <n v="211.4"/>
  </r>
  <r>
    <x v="174"/>
    <n v="25"/>
    <n v="45.53"/>
    <n v="177.71"/>
  </r>
  <r>
    <x v="175"/>
    <n v="28"/>
    <n v="50.57"/>
    <n v="187.34"/>
  </r>
  <r>
    <x v="176"/>
    <n v="17"/>
    <n v="51.31"/>
    <n v="136.37"/>
  </r>
  <r>
    <x v="177"/>
    <n v="23"/>
    <n v="51.72"/>
    <n v="184.48"/>
  </r>
  <r>
    <x v="178"/>
    <n v="19"/>
    <n v="57.76"/>
    <n v="214.58"/>
  </r>
  <r>
    <x v="179"/>
    <n v="26"/>
    <n v="53.81"/>
    <n v="213.01"/>
  </r>
  <r>
    <x v="180"/>
    <n v="26"/>
    <n v="51.08"/>
    <n v="144.26"/>
  </r>
  <r>
    <x v="181"/>
    <n v="29"/>
    <n v="46.01"/>
    <n v="189.08"/>
  </r>
  <r>
    <x v="182"/>
    <n v="19"/>
    <n v="40.78"/>
    <n v="189.65"/>
  </r>
  <r>
    <x v="183"/>
    <n v="18"/>
    <n v="47.35"/>
    <n v="198.28"/>
  </r>
  <r>
    <x v="184"/>
    <n v="20"/>
    <n v="55.61"/>
    <n v="161.69999999999999"/>
  </r>
  <r>
    <x v="185"/>
    <n v="24"/>
    <n v="54.19"/>
    <n v="201.06"/>
  </r>
  <r>
    <x v="186"/>
    <n v="19"/>
    <n v="55.46"/>
    <n v="217.95"/>
  </r>
  <r>
    <x v="187"/>
    <n v="29"/>
    <n v="50.76"/>
    <n v="218.26"/>
  </r>
  <r>
    <x v="188"/>
    <n v="21"/>
    <n v="55.18"/>
    <n v="202.4"/>
  </r>
  <r>
    <x v="189"/>
    <n v="24"/>
    <n v="58.97"/>
    <n v="196.81"/>
  </r>
  <r>
    <x v="190"/>
    <n v="27"/>
    <n v="41.81"/>
    <n v="234.52"/>
  </r>
  <r>
    <x v="191"/>
    <n v="29"/>
    <n v="58.32"/>
    <n v="232.45"/>
  </r>
  <r>
    <x v="192"/>
    <n v="20"/>
    <n v="56.78"/>
    <n v="202.8"/>
  </r>
  <r>
    <x v="193"/>
    <n v="19"/>
    <n v="53.44"/>
    <n v="168.07"/>
  </r>
  <r>
    <x v="194"/>
    <n v="26"/>
    <n v="47.2"/>
    <n v="232.67"/>
  </r>
  <r>
    <x v="195"/>
    <n v="26"/>
    <n v="45.82"/>
    <n v="208.88"/>
  </r>
  <r>
    <x v="196"/>
    <n v="25"/>
    <n v="53.37"/>
    <n v="159.71"/>
  </r>
  <r>
    <x v="197"/>
    <n v="22"/>
    <n v="54.73"/>
    <n v="209.7"/>
  </r>
  <r>
    <x v="198"/>
    <n v="29"/>
    <n v="59.15"/>
    <n v="135.56"/>
  </r>
  <r>
    <x v="199"/>
    <n v="24"/>
    <n v="57.38"/>
    <n v="185.8"/>
  </r>
  <r>
    <x v="200"/>
    <n v="25"/>
    <n v="41.02"/>
    <n v="205.52"/>
  </r>
  <r>
    <x v="201"/>
    <n v="30"/>
    <n v="44.76"/>
    <n v="212.64"/>
  </r>
  <r>
    <x v="202"/>
    <n v="23"/>
    <n v="51.83"/>
    <n v="191.98"/>
  </r>
  <r>
    <x v="203"/>
    <n v="23"/>
    <n v="40.39"/>
    <n v="216.3"/>
  </r>
  <r>
    <x v="204"/>
    <n v="19"/>
    <n v="52.28"/>
    <n v="198.12"/>
  </r>
  <r>
    <x v="205"/>
    <n v="23"/>
    <n v="47.04"/>
    <n v="163.97"/>
  </r>
  <r>
    <x v="206"/>
    <n v="20"/>
    <n v="48.35"/>
    <n v="158.88"/>
  </r>
  <r>
    <x v="207"/>
    <n v="22"/>
    <n v="55.66"/>
    <n v="183.18"/>
  </r>
  <r>
    <x v="208"/>
    <n v="23"/>
    <n v="40.32"/>
    <n v="228.62"/>
  </r>
  <r>
    <x v="209"/>
    <n v="22"/>
    <n v="49.8"/>
    <n v="136.49"/>
  </r>
  <r>
    <x v="210"/>
    <n v="24"/>
    <n v="56.32"/>
    <n v="154.18"/>
  </r>
  <r>
    <x v="211"/>
    <n v="26"/>
    <n v="40.68"/>
    <n v="232.51"/>
  </r>
  <r>
    <x v="212"/>
    <n v="22"/>
    <n v="50.82"/>
    <n v="167.89"/>
  </r>
  <r>
    <x v="213"/>
    <n v="24"/>
    <n v="54.04"/>
    <n v="152.30000000000001"/>
  </r>
  <r>
    <x v="214"/>
    <n v="26"/>
    <n v="41"/>
    <n v="182.18"/>
  </r>
  <r>
    <x v="215"/>
    <n v="25"/>
    <n v="42.06"/>
    <n v="139.81"/>
  </r>
  <r>
    <x v="216"/>
    <n v="27"/>
    <n v="57.11"/>
    <n v="185.12"/>
  </r>
  <r>
    <x v="217"/>
    <n v="30"/>
    <n v="54.78"/>
    <n v="207.86"/>
  </r>
  <r>
    <x v="218"/>
    <n v="24"/>
    <n v="40.94"/>
    <n v="207.64"/>
  </r>
  <r>
    <x v="219"/>
    <n v="24"/>
    <n v="50.23"/>
    <n v="148.75"/>
  </r>
  <r>
    <x v="220"/>
    <n v="28"/>
    <n v="53.16"/>
    <n v="180.96"/>
  </r>
  <r>
    <x v="221"/>
    <n v="29"/>
    <n v="50.84"/>
    <n v="227.82"/>
  </r>
  <r>
    <x v="222"/>
    <n v="27"/>
    <n v="52.27"/>
    <n v="146.13"/>
  </r>
  <r>
    <x v="223"/>
    <n v="21"/>
    <n v="42.18"/>
    <n v="155.22999999999999"/>
  </r>
  <r>
    <x v="224"/>
    <n v="19"/>
    <n v="40.130000000000003"/>
    <n v="152.82"/>
  </r>
  <r>
    <x v="225"/>
    <n v="20"/>
    <n v="50.78"/>
    <n v="156.43"/>
  </r>
  <r>
    <x v="226"/>
    <n v="20"/>
    <n v="41.4"/>
    <n v="182.56"/>
  </r>
  <r>
    <x v="227"/>
    <n v="28"/>
    <n v="44.44"/>
    <n v="136.74"/>
  </r>
  <r>
    <x v="228"/>
    <n v="30"/>
    <n v="44.11"/>
    <n v="195.94"/>
  </r>
  <r>
    <x v="229"/>
    <n v="28"/>
    <n v="46.13"/>
    <n v="229.49"/>
  </r>
  <r>
    <x v="230"/>
    <n v="22"/>
    <n v="48.3"/>
    <n v="175.57"/>
  </r>
  <r>
    <x v="231"/>
    <n v="30"/>
    <n v="55.71"/>
    <n v="205.28"/>
  </r>
  <r>
    <x v="232"/>
    <n v="22"/>
    <n v="46.03"/>
    <n v="232.61"/>
  </r>
  <r>
    <x v="233"/>
    <n v="27"/>
    <n v="40.97"/>
    <n v="161.21"/>
  </r>
  <r>
    <x v="234"/>
    <n v="27"/>
    <n v="46.58"/>
    <n v="164.3"/>
  </r>
  <r>
    <x v="235"/>
    <n v="24"/>
    <n v="58.14"/>
    <n v="234.15"/>
  </r>
  <r>
    <x v="236"/>
    <n v="28"/>
    <n v="51.98"/>
    <n v="206.47"/>
  </r>
  <r>
    <x v="237"/>
    <n v="26"/>
    <n v="51.95"/>
    <n v="135.68"/>
  </r>
  <r>
    <x v="238"/>
    <n v="28"/>
    <n v="46.29"/>
    <n v="149.38"/>
  </r>
  <r>
    <x v="239"/>
    <n v="28"/>
    <n v="41.53"/>
    <n v="214.4"/>
  </r>
  <r>
    <x v="240"/>
    <n v="28"/>
    <n v="48.77"/>
    <n v="144.97999999999999"/>
  </r>
  <r>
    <x v="241"/>
    <n v="24"/>
    <n v="40.619999999999997"/>
    <n v="155.5"/>
  </r>
  <r>
    <x v="242"/>
    <n v="20"/>
    <n v="48.53"/>
    <n v="166.07"/>
  </r>
  <r>
    <x v="243"/>
    <n v="31"/>
    <n v="55.18"/>
    <n v="206.7"/>
  </r>
  <r>
    <x v="244"/>
    <n v="20"/>
    <n v="43.64"/>
    <n v="224.63"/>
  </r>
  <r>
    <x v="245"/>
    <n v="21"/>
    <n v="57.52"/>
    <n v="217.16"/>
  </r>
  <r>
    <x v="246"/>
    <n v="21"/>
    <n v="41.74"/>
    <n v="196.25"/>
  </r>
  <r>
    <x v="247"/>
    <n v="20"/>
    <n v="57.15"/>
    <n v="171.27"/>
  </r>
  <r>
    <x v="248"/>
    <n v="24"/>
    <n v="52.1"/>
    <n v="232.94"/>
  </r>
  <r>
    <x v="249"/>
    <n v="24"/>
    <n v="56.55"/>
    <n v="225.13"/>
  </r>
  <r>
    <x v="250"/>
    <n v="29"/>
    <n v="45.43"/>
    <n v="198.01"/>
  </r>
  <r>
    <x v="251"/>
    <n v="24"/>
    <n v="42.62"/>
    <n v="151.80000000000001"/>
  </r>
  <r>
    <x v="252"/>
    <n v="20"/>
    <n v="43.35"/>
    <n v="201.95"/>
  </r>
  <r>
    <x v="253"/>
    <n v="26"/>
    <n v="46.74"/>
    <n v="212.63"/>
  </r>
  <r>
    <x v="254"/>
    <n v="21"/>
    <n v="46.76"/>
    <n v="219.06"/>
  </r>
  <r>
    <x v="255"/>
    <n v="21"/>
    <n v="47.24"/>
    <n v="197.44"/>
  </r>
  <r>
    <x v="256"/>
    <n v="22"/>
    <n v="50.51"/>
    <n v="197.88"/>
  </r>
  <r>
    <x v="257"/>
    <n v="22"/>
    <n v="45.98"/>
    <n v="228.48"/>
  </r>
  <r>
    <x v="258"/>
    <n v="25"/>
    <n v="52.17"/>
    <n v="218.3"/>
  </r>
  <r>
    <x v="259"/>
    <n v="25"/>
    <n v="49.25"/>
    <n v="217.35"/>
  </r>
  <r>
    <x v="260"/>
    <n v="23"/>
    <n v="57.87"/>
    <n v="206.06"/>
  </r>
  <r>
    <x v="261"/>
    <n v="21"/>
    <n v="45.93"/>
    <n v="223.51"/>
  </r>
  <r>
    <x v="262"/>
    <n v="27"/>
    <n v="42.08"/>
    <n v="167.67"/>
  </r>
  <r>
    <x v="263"/>
    <n v="21"/>
    <n v="56.01"/>
    <n v="195.78"/>
  </r>
  <r>
    <x v="264"/>
    <n v="30"/>
    <n v="55.68"/>
    <n v="197.73"/>
  </r>
  <r>
    <x v="265"/>
    <n v="21"/>
    <n v="43.62"/>
    <n v="185.42"/>
  </r>
  <r>
    <x v="266"/>
    <n v="23"/>
    <n v="42.56"/>
    <n v="159.03"/>
  </r>
  <r>
    <x v="267"/>
    <n v="22"/>
    <n v="54.77"/>
    <n v="159.97999999999999"/>
  </r>
  <r>
    <x v="268"/>
    <n v="30"/>
    <n v="51.15"/>
    <n v="231.43"/>
  </r>
  <r>
    <x v="269"/>
    <n v="21"/>
    <n v="46.73"/>
    <n v="205.46"/>
  </r>
  <r>
    <x v="270"/>
    <n v="31"/>
    <n v="57.18"/>
    <n v="198.93"/>
  </r>
  <r>
    <x v="271"/>
    <n v="25"/>
    <n v="44.19"/>
    <n v="178.63"/>
  </r>
  <r>
    <x v="272"/>
    <n v="23"/>
    <n v="42.19"/>
    <n v="146.5"/>
  </r>
  <r>
    <x v="273"/>
    <n v="31"/>
    <n v="50.63"/>
    <n v="170.09"/>
  </r>
  <r>
    <x v="274"/>
    <n v="32"/>
    <n v="56.68"/>
    <n v="140.57"/>
  </r>
  <r>
    <x v="275"/>
    <n v="24"/>
    <n v="56.98"/>
    <n v="193.29"/>
  </r>
  <r>
    <x v="276"/>
    <n v="29"/>
    <n v="47.51"/>
    <n v="227.85"/>
  </r>
  <r>
    <x v="277"/>
    <n v="27"/>
    <n v="44.62"/>
    <n v="191.75"/>
  </r>
  <r>
    <x v="278"/>
    <n v="31"/>
    <n v="40.5"/>
    <n v="137.41999999999999"/>
  </r>
  <r>
    <x v="279"/>
    <n v="24"/>
    <n v="50.09"/>
    <n v="192.07"/>
  </r>
  <r>
    <x v="280"/>
    <n v="23"/>
    <n v="56.4"/>
    <n v="185.86"/>
  </r>
  <r>
    <x v="281"/>
    <n v="22"/>
    <n v="58.18"/>
    <n v="164.83"/>
  </r>
  <r>
    <x v="282"/>
    <n v="23"/>
    <n v="41.19"/>
    <n v="169.96"/>
  </r>
  <r>
    <x v="283"/>
    <n v="32"/>
    <n v="52.66"/>
    <n v="139.19999999999999"/>
  </r>
  <r>
    <x v="284"/>
    <n v="22"/>
    <n v="52.1"/>
    <n v="226.99"/>
  </r>
  <r>
    <x v="285"/>
    <n v="25"/>
    <n v="57.15"/>
    <n v="167.46"/>
  </r>
  <r>
    <x v="286"/>
    <n v="26"/>
    <n v="45"/>
    <n v="191.83"/>
  </r>
  <r>
    <x v="287"/>
    <n v="27"/>
    <n v="51.53"/>
    <n v="230.4"/>
  </r>
  <r>
    <x v="288"/>
    <n v="28"/>
    <n v="56.82"/>
    <n v="173.72"/>
  </r>
  <r>
    <x v="289"/>
    <n v="29"/>
    <n v="46.3"/>
    <n v="158.68"/>
  </r>
  <r>
    <x v="290"/>
    <n v="30"/>
    <n v="58.07"/>
    <n v="153.59"/>
  </r>
  <r>
    <x v="291"/>
    <n v="23"/>
    <n v="45.67"/>
    <n v="175.31"/>
  </r>
  <r>
    <x v="292"/>
    <n v="32"/>
    <n v="43.92"/>
    <n v="168.52"/>
  </r>
  <r>
    <x v="293"/>
    <n v="27"/>
    <n v="46.26"/>
    <n v="154.49"/>
  </r>
  <r>
    <x v="294"/>
    <n v="31"/>
    <n v="52.94"/>
    <n v="139.88"/>
  </r>
  <r>
    <x v="295"/>
    <n v="31"/>
    <n v="50.09"/>
    <n v="225.4"/>
  </r>
  <r>
    <x v="296"/>
    <n v="22"/>
    <n v="48.57"/>
    <n v="193.29"/>
  </r>
  <r>
    <x v="297"/>
    <n v="21"/>
    <n v="47.77"/>
    <n v="230.05"/>
  </r>
  <r>
    <x v="298"/>
    <n v="30"/>
    <n v="54.97"/>
    <n v="204.19"/>
  </r>
  <r>
    <x v="299"/>
    <n v="31"/>
    <n v="42.18"/>
    <n v="194.75"/>
  </r>
  <r>
    <x v="300"/>
    <n v="29"/>
    <n v="47.61"/>
    <n v="142.27000000000001"/>
  </r>
  <r>
    <x v="301"/>
    <n v="23"/>
    <n v="39.03"/>
    <n v="172.44"/>
  </r>
  <r>
    <x v="302"/>
    <n v="29"/>
    <n v="45.19"/>
    <n v="199.43"/>
  </r>
  <r>
    <x v="303"/>
    <n v="32"/>
    <n v="52.82"/>
    <n v="200.56"/>
  </r>
  <r>
    <x v="304"/>
    <n v="31"/>
    <n v="57.89"/>
    <n v="156.69"/>
  </r>
  <r>
    <x v="305"/>
    <n v="23"/>
    <n v="46.78"/>
    <n v="159.84"/>
  </r>
  <r>
    <x v="306"/>
    <n v="28"/>
    <n v="56.13"/>
    <n v="213.75"/>
  </r>
  <r>
    <x v="307"/>
    <n v="26"/>
    <n v="45.98"/>
    <n v="213.27"/>
  </r>
  <r>
    <x v="308"/>
    <n v="24"/>
    <n v="52.86"/>
    <n v="218.5"/>
  </r>
  <r>
    <x v="309"/>
    <n v="32"/>
    <n v="57.37"/>
    <n v="148.88"/>
  </r>
  <r>
    <x v="310"/>
    <n v="30"/>
    <n v="57.33"/>
    <n v="141.04"/>
  </r>
  <r>
    <x v="311"/>
    <n v="23"/>
    <n v="44.44"/>
    <n v="173.17"/>
  </r>
  <r>
    <x v="312"/>
    <n v="29"/>
    <n v="42.16"/>
    <n v="179.16"/>
  </r>
  <r>
    <x v="313"/>
    <n v="29"/>
    <n v="49.09"/>
    <n v="147.08000000000001"/>
  </r>
  <r>
    <x v="314"/>
    <n v="29"/>
    <n v="57.8"/>
    <n v="208.2"/>
  </r>
  <r>
    <x v="315"/>
    <n v="27"/>
    <n v="39.82"/>
    <n v="215.91"/>
  </r>
  <r>
    <x v="316"/>
    <n v="24"/>
    <n v="44.96"/>
    <n v="224.64"/>
  </r>
  <r>
    <x v="317"/>
    <n v="25"/>
    <n v="44.54"/>
    <n v="193.41"/>
  </r>
  <r>
    <x v="318"/>
    <n v="24"/>
    <n v="51.06"/>
    <n v="231.19"/>
  </r>
  <r>
    <x v="319"/>
    <n v="24"/>
    <n v="48.72"/>
    <n v="152.94999999999999"/>
  </r>
  <r>
    <x v="320"/>
    <n v="32"/>
    <n v="58.58"/>
    <n v="167.68"/>
  </r>
  <r>
    <x v="321"/>
    <n v="30"/>
    <n v="54.58"/>
    <n v="183.81"/>
  </r>
  <r>
    <x v="322"/>
    <n v="23"/>
    <n v="39.659999999999997"/>
    <n v="233.73"/>
  </r>
  <r>
    <x v="323"/>
    <n v="23"/>
    <n v="52.87"/>
    <n v="184.6"/>
  </r>
  <r>
    <x v="324"/>
    <n v="33"/>
    <n v="44.1"/>
    <n v="173.15"/>
  </r>
  <r>
    <x v="325"/>
    <n v="31"/>
    <n v="55.44"/>
    <n v="192.75"/>
  </r>
  <r>
    <x v="326"/>
    <n v="26"/>
    <n v="51.21"/>
    <n v="218.54"/>
  </r>
  <r>
    <x v="327"/>
    <n v="23"/>
    <n v="40.770000000000003"/>
    <n v="180.93"/>
  </r>
  <r>
    <x v="328"/>
    <n v="34"/>
    <n v="58.13"/>
    <n v="182.48"/>
  </r>
  <r>
    <x v="329"/>
    <n v="23"/>
    <n v="53.2"/>
    <n v="185.74"/>
  </r>
  <r>
    <x v="330"/>
    <n v="23"/>
    <n v="48.67"/>
    <n v="224.8"/>
  </r>
  <r>
    <x v="331"/>
    <n v="27"/>
    <n v="54.78"/>
    <n v="163.74"/>
  </r>
  <r>
    <x v="332"/>
    <n v="32"/>
    <n v="39.89"/>
    <n v="175.93"/>
  </r>
  <r>
    <x v="333"/>
    <n v="30"/>
    <n v="57.89"/>
    <n v="229.69"/>
  </r>
  <r>
    <x v="334"/>
    <n v="30"/>
    <n v="57.29"/>
    <n v="150.06"/>
  </r>
  <r>
    <x v="335"/>
    <n v="31"/>
    <n v="39.369999999999997"/>
    <n v="147.5"/>
  </r>
  <r>
    <x v="336"/>
    <n v="30"/>
    <n v="38.58"/>
    <n v="186.53"/>
  </r>
  <r>
    <x v="337"/>
    <n v="26"/>
    <n v="46.5"/>
    <n v="166.55"/>
  </r>
  <r>
    <x v="338"/>
    <n v="25"/>
    <n v="48.45"/>
    <n v="153.72"/>
  </r>
  <r>
    <x v="339"/>
    <n v="33"/>
    <n v="39.94"/>
    <n v="224.73"/>
  </r>
  <r>
    <x v="340"/>
    <n v="29"/>
    <n v="44.37"/>
    <n v="215.15"/>
  </r>
  <r>
    <x v="341"/>
    <n v="31"/>
    <n v="51.24"/>
    <n v="231.21"/>
  </r>
  <r>
    <x v="342"/>
    <n v="26"/>
    <n v="42.09"/>
    <n v="144.57"/>
  </r>
  <r>
    <x v="343"/>
    <n v="33"/>
    <n v="55.45"/>
    <n v="152.44999999999999"/>
  </r>
  <r>
    <x v="344"/>
    <n v="31"/>
    <n v="39.18"/>
    <n v="164.85"/>
  </r>
  <r>
    <x v="345"/>
    <n v="24"/>
    <n v="40.6"/>
    <n v="154"/>
  </r>
  <r>
    <x v="346"/>
    <n v="33"/>
    <n v="53.33"/>
    <n v="156.83000000000001"/>
  </r>
  <r>
    <x v="347"/>
    <n v="32"/>
    <n v="57.48"/>
    <n v="157.35"/>
  </r>
  <r>
    <x v="348"/>
    <n v="27"/>
    <n v="51.67"/>
    <n v="186.78"/>
  </r>
  <r>
    <x v="349"/>
    <n v="33"/>
    <n v="46.46"/>
    <n v="142.53"/>
  </r>
  <r>
    <x v="350"/>
    <n v="25"/>
    <n v="39.43"/>
    <n v="152.25"/>
  </r>
  <r>
    <x v="351"/>
    <n v="34"/>
    <n v="53.58"/>
    <n v="166.11"/>
  </r>
  <r>
    <x v="352"/>
    <n v="28"/>
    <n v="44.74"/>
    <n v="200.62"/>
  </r>
  <r>
    <x v="353"/>
    <n v="32"/>
    <n v="39.44"/>
    <n v="151.53"/>
  </r>
  <r>
    <x v="354"/>
    <n v="33"/>
    <n v="40.9"/>
    <n v="231.1"/>
  </r>
  <r>
    <x v="355"/>
    <n v="31"/>
    <n v="44.72"/>
    <n v="145.86000000000001"/>
  </r>
  <r>
    <x v="356"/>
    <n v="29"/>
    <n v="42.4"/>
    <n v="221.33"/>
  </r>
  <r>
    <x v="357"/>
    <n v="23"/>
    <n v="40.659999999999997"/>
    <n v="202.59"/>
  </r>
  <r>
    <x v="358"/>
    <n v="28"/>
    <n v="54.41"/>
    <n v="229.67"/>
  </r>
  <r>
    <x v="359"/>
    <n v="34"/>
    <n v="50.54"/>
    <n v="164.52"/>
  </r>
  <r>
    <x v="360"/>
    <n v="28"/>
    <n v="57.57"/>
    <n v="221.44"/>
  </r>
  <r>
    <x v="361"/>
    <n v="30"/>
    <n v="43.87"/>
    <n v="153.31"/>
  </r>
  <r>
    <x v="362"/>
    <n v="32"/>
    <n v="43.04"/>
    <n v="221.72"/>
  </r>
  <r>
    <x v="363"/>
    <n v="32"/>
    <n v="40"/>
    <n v="149.63999999999999"/>
  </r>
  <r>
    <x v="364"/>
    <n v="29"/>
    <n v="55.75"/>
    <n v="146.54"/>
  </r>
  <r>
    <x v="365"/>
    <n v="24"/>
    <n v="47.12"/>
    <n v="154.18"/>
  </r>
  <r>
    <x v="366"/>
    <n v="29"/>
    <n v="46.53"/>
    <n v="158.38"/>
  </r>
  <r>
    <x v="367"/>
    <n v="31"/>
    <n v="38.24"/>
    <n v="222.46"/>
  </r>
  <r>
    <x v="368"/>
    <n v="33"/>
    <n v="44.46"/>
    <n v="192.11"/>
  </r>
  <r>
    <x v="369"/>
    <n v="26"/>
    <n v="47.71"/>
    <n v="136.81"/>
  </r>
  <r>
    <x v="370"/>
    <n v="24"/>
    <n v="51.63"/>
    <n v="142.71"/>
  </r>
  <r>
    <x v="371"/>
    <n v="26"/>
    <n v="43.47"/>
    <n v="167.05"/>
  </r>
  <r>
    <x v="372"/>
    <n v="31"/>
    <n v="41.09"/>
    <n v="207.43"/>
  </r>
  <r>
    <x v="373"/>
    <n v="34"/>
    <n v="48.27"/>
    <n v="169.73"/>
  </r>
  <r>
    <x v="374"/>
    <n v="29"/>
    <n v="50.01"/>
    <n v="179.95"/>
  </r>
  <r>
    <x v="375"/>
    <n v="25"/>
    <n v="42.43"/>
    <n v="159.33000000000001"/>
  </r>
  <r>
    <x v="376"/>
    <n v="24"/>
    <n v="49.73"/>
    <n v="168.37"/>
  </r>
  <r>
    <x v="377"/>
    <n v="27"/>
    <n v="40.46"/>
    <n v="157.78"/>
  </r>
  <r>
    <x v="378"/>
    <n v="34"/>
    <n v="57.89"/>
    <n v="229.8"/>
  </r>
  <r>
    <x v="379"/>
    <n v="32"/>
    <n v="50.89"/>
    <n v="177.23"/>
  </r>
  <r>
    <x v="380"/>
    <n v="34"/>
    <n v="45.95"/>
    <n v="225.57"/>
  </r>
  <r>
    <x v="381"/>
    <n v="32"/>
    <n v="41.31"/>
    <n v="234.05"/>
  </r>
  <r>
    <x v="382"/>
    <n v="26"/>
    <n v="53.68"/>
    <n v="181.35"/>
  </r>
  <r>
    <x v="383"/>
    <n v="33"/>
    <n v="56.16"/>
    <n v="183.99"/>
  </r>
  <r>
    <x v="384"/>
    <n v="31"/>
    <n v="56.31"/>
    <n v="158.07"/>
  </r>
  <r>
    <x v="385"/>
    <n v="26"/>
    <n v="50.24"/>
    <n v="140.16"/>
  </r>
  <r>
    <x v="386"/>
    <n v="29"/>
    <n v="56.68"/>
    <n v="212.48"/>
  </r>
  <r>
    <x v="387"/>
    <n v="25"/>
    <n v="49.87"/>
    <n v="218.74"/>
  </r>
  <r>
    <x v="388"/>
    <n v="26"/>
    <n v="51.07"/>
    <n v="143.88"/>
  </r>
  <r>
    <x v="389"/>
    <n v="28"/>
    <n v="54.51"/>
    <n v="201.17"/>
  </r>
  <r>
    <x v="390"/>
    <n v="26"/>
    <n v="40.5"/>
    <n v="184.31"/>
  </r>
  <r>
    <x v="391"/>
    <n v="31"/>
    <n v="55.76"/>
    <n v="183.19"/>
  </r>
  <r>
    <x v="392"/>
    <n v="35"/>
    <n v="53.46"/>
    <n v="148.43"/>
  </r>
  <r>
    <x v="393"/>
    <n v="35"/>
    <n v="51.04"/>
    <n v="222.12"/>
  </r>
  <r>
    <x v="394"/>
    <n v="28"/>
    <n v="52.17"/>
    <n v="225.48"/>
  </r>
  <r>
    <x v="395"/>
    <n v="26"/>
    <n v="47.1"/>
    <n v="222.14"/>
  </r>
  <r>
    <x v="396"/>
    <n v="28"/>
    <n v="38.159999999999997"/>
    <n v="182.8"/>
  </r>
  <r>
    <x v="397"/>
    <n v="28"/>
    <n v="56.95"/>
    <n v="231.15"/>
  </r>
  <r>
    <x v="398"/>
    <n v="33"/>
    <n v="39.799999999999997"/>
    <n v="168.39"/>
  </r>
  <r>
    <x v="399"/>
    <n v="28"/>
    <n v="49.98"/>
    <n v="172.84"/>
  </r>
  <r>
    <x v="400"/>
    <n v="32"/>
    <n v="52.45"/>
    <n v="177.37"/>
  </r>
  <r>
    <x v="401"/>
    <n v="28"/>
    <n v="50.85"/>
    <n v="179.32"/>
  </r>
  <r>
    <x v="402"/>
    <n v="34"/>
    <n v="40.04"/>
    <n v="192.85"/>
  </r>
  <r>
    <x v="403"/>
    <n v="25"/>
    <n v="56.82"/>
    <n v="161.9"/>
  </r>
  <r>
    <x v="404"/>
    <n v="29"/>
    <n v="39.880000000000003"/>
    <n v="205.14"/>
  </r>
  <r>
    <x v="405"/>
    <n v="31"/>
    <n v="51.66"/>
    <n v="161.12"/>
  </r>
  <r>
    <x v="406"/>
    <n v="31"/>
    <n v="40.57"/>
    <n v="187.59"/>
  </r>
  <r>
    <x v="407"/>
    <n v="37"/>
    <n v="43.96"/>
    <n v="168.68"/>
  </r>
  <r>
    <x v="408"/>
    <n v="29"/>
    <n v="47.28"/>
    <n v="222.89"/>
  </r>
  <r>
    <x v="409"/>
    <n v="26"/>
    <n v="42.72"/>
    <n v="184.97"/>
  </r>
  <r>
    <x v="410"/>
    <n v="27"/>
    <n v="57.75"/>
    <n v="225.94"/>
  </r>
  <r>
    <x v="411"/>
    <n v="32"/>
    <n v="56.96"/>
    <n v="152.52000000000001"/>
  </r>
  <r>
    <x v="412"/>
    <n v="37"/>
    <n v="46.11"/>
    <n v="211.64"/>
  </r>
  <r>
    <x v="413"/>
    <n v="32"/>
    <n v="54.35"/>
    <n v="214.76"/>
  </r>
  <r>
    <x v="414"/>
    <n v="35"/>
    <n v="46.74"/>
    <n v="135.25"/>
  </r>
  <r>
    <x v="415"/>
    <n v="27"/>
    <n v="48.56"/>
    <n v="135.66999999999999"/>
  </r>
  <r>
    <x v="416"/>
    <n v="31"/>
    <n v="42.73"/>
    <n v="205.16"/>
  </r>
  <r>
    <x v="417"/>
    <n v="25"/>
    <n v="39.090000000000003"/>
    <n v="155.33000000000001"/>
  </r>
  <r>
    <x v="418"/>
    <n v="31"/>
    <n v="43.02"/>
    <n v="153.93"/>
  </r>
  <r>
    <x v="419"/>
    <n v="36"/>
    <n v="49.56"/>
    <n v="138.15"/>
  </r>
  <r>
    <x v="420"/>
    <n v="27"/>
    <n v="42.99"/>
    <n v="220.87"/>
  </r>
  <r>
    <x v="421"/>
    <n v="32"/>
    <n v="51.63"/>
    <n v="228.71"/>
  </r>
  <r>
    <x v="422"/>
    <n v="30"/>
    <n v="39.75"/>
    <n v="136.96"/>
  </r>
  <r>
    <x v="423"/>
    <n v="34"/>
    <n v="50.74"/>
    <n v="190.05"/>
  </r>
  <r>
    <x v="424"/>
    <n v="27"/>
    <n v="50.15"/>
    <n v="196.39"/>
  </r>
  <r>
    <x v="425"/>
    <n v="27"/>
    <n v="49.15"/>
    <n v="201.24"/>
  </r>
  <r>
    <x v="426"/>
    <n v="27"/>
    <n v="55.51"/>
    <n v="153.27000000000001"/>
  </r>
  <r>
    <x v="427"/>
    <n v="36"/>
    <n v="50.13"/>
    <n v="183.22"/>
  </r>
  <r>
    <x v="428"/>
    <n v="27"/>
    <n v="49.63"/>
    <n v="221.7"/>
  </r>
  <r>
    <x v="429"/>
    <n v="29"/>
    <n v="43.02"/>
    <n v="226.39"/>
  </r>
  <r>
    <x v="430"/>
    <n v="30"/>
    <n v="53.8"/>
    <n v="199.03"/>
  </r>
  <r>
    <x v="431"/>
    <n v="33"/>
    <n v="38.909999999999997"/>
    <n v="205.9"/>
  </r>
  <r>
    <x v="432"/>
    <n v="36"/>
    <n v="53.12"/>
    <n v="170.84"/>
  </r>
  <r>
    <x v="433"/>
    <n v="27"/>
    <n v="50.85"/>
    <n v="161.38"/>
  </r>
  <r>
    <x v="434"/>
    <n v="33"/>
    <n v="53.06"/>
    <n v="158.16999999999999"/>
  </r>
  <r>
    <x v="435"/>
    <n v="36"/>
    <n v="40.25"/>
    <n v="143.46"/>
  </r>
  <r>
    <x v="436"/>
    <n v="29"/>
    <n v="38.369999999999997"/>
    <n v="162.63999999999999"/>
  </r>
  <r>
    <x v="437"/>
    <n v="30"/>
    <n v="39.64"/>
    <n v="172.2"/>
  </r>
  <r>
    <x v="438"/>
    <n v="34"/>
    <n v="47.63"/>
    <n v="137.52000000000001"/>
  </r>
  <r>
    <x v="439"/>
    <n v="33"/>
    <n v="52.43"/>
    <n v="226.42"/>
  </r>
  <r>
    <x v="440"/>
    <n v="30"/>
    <n v="53.81"/>
    <n v="181.22"/>
  </r>
  <r>
    <x v="441"/>
    <n v="33"/>
    <n v="37.92"/>
    <n v="137.91"/>
  </r>
  <r>
    <x v="442"/>
    <n v="36"/>
    <n v="56.31"/>
    <n v="138.97999999999999"/>
  </r>
  <r>
    <x v="443"/>
    <n v="29"/>
    <n v="40.479999999999997"/>
    <n v="183.65"/>
  </r>
  <r>
    <x v="444"/>
    <n v="29"/>
    <n v="57.03"/>
    <n v="141.31"/>
  </r>
  <r>
    <x v="445"/>
    <n v="37"/>
    <n v="55.73"/>
    <n v="170.09"/>
  </r>
  <r>
    <x v="446"/>
    <n v="33"/>
    <n v="48.18"/>
    <n v="192.55"/>
  </r>
  <r>
    <x v="447"/>
    <n v="34"/>
    <n v="56.59"/>
    <n v="144.85"/>
  </r>
  <r>
    <x v="448"/>
    <n v="26"/>
    <n v="45.39"/>
    <n v="171.13"/>
  </r>
  <r>
    <x v="449"/>
    <n v="29"/>
    <n v="42.52"/>
    <n v="180.48"/>
  </r>
  <r>
    <x v="450"/>
    <n v="32"/>
    <n v="50.66"/>
    <n v="195.34"/>
  </r>
  <r>
    <x v="451"/>
    <n v="36"/>
    <n v="45.71"/>
    <n v="222.8"/>
  </r>
  <r>
    <x v="452"/>
    <n v="31"/>
    <n v="46.94"/>
    <n v="190.74"/>
  </r>
  <r>
    <x v="453"/>
    <n v="35"/>
    <n v="46.99"/>
    <n v="220.95"/>
  </r>
  <r>
    <x v="454"/>
    <n v="35"/>
    <n v="49.93"/>
    <n v="173.05"/>
  </r>
  <r>
    <x v="455"/>
    <n v="34"/>
    <n v="52.77"/>
    <n v="162.15"/>
  </r>
  <r>
    <x v="456"/>
    <n v="35"/>
    <n v="55.36"/>
    <n v="167.56"/>
  </r>
  <r>
    <x v="457"/>
    <n v="31"/>
    <n v="40.17"/>
    <n v="226.72"/>
  </r>
  <r>
    <x v="458"/>
    <n v="32"/>
    <n v="47.58"/>
    <n v="140.26"/>
  </r>
  <r>
    <x v="459"/>
    <n v="33"/>
    <n v="38.32"/>
    <n v="214.02"/>
  </r>
  <r>
    <x v="460"/>
    <n v="33"/>
    <n v="53.68"/>
    <n v="140.13"/>
  </r>
  <r>
    <x v="461"/>
    <n v="32"/>
    <n v="38.07"/>
    <n v="149.53"/>
  </r>
  <r>
    <x v="462"/>
    <n v="38"/>
    <n v="55.31"/>
    <n v="169.99"/>
  </r>
  <r>
    <x v="463"/>
    <n v="29"/>
    <n v="44.46"/>
    <n v="228.64"/>
  </r>
  <r>
    <x v="464"/>
    <n v="32"/>
    <n v="40.42"/>
    <n v="176.68"/>
  </r>
  <r>
    <x v="465"/>
    <n v="29"/>
    <n v="47"/>
    <n v="209.12"/>
  </r>
  <r>
    <x v="466"/>
    <n v="28"/>
    <n v="56.92"/>
    <n v="139.87"/>
  </r>
  <r>
    <x v="467"/>
    <n v="33"/>
    <n v="46.46"/>
    <n v="197.04"/>
  </r>
  <r>
    <x v="468"/>
    <n v="29"/>
    <n v="50.66"/>
    <n v="155.16999999999999"/>
  </r>
  <r>
    <x v="469"/>
    <n v="35"/>
    <n v="50.97"/>
    <n v="184.84"/>
  </r>
  <r>
    <x v="470"/>
    <n v="34"/>
    <n v="42.91"/>
    <n v="143.66999999999999"/>
  </r>
  <r>
    <x v="471"/>
    <n v="37"/>
    <n v="39.94"/>
    <n v="211.82"/>
  </r>
  <r>
    <x v="472"/>
    <n v="39"/>
    <n v="47.75"/>
    <n v="225.94"/>
  </r>
  <r>
    <x v="473"/>
    <n v="31"/>
    <n v="50.17"/>
    <n v="226.9"/>
  </r>
  <r>
    <x v="474"/>
    <n v="38"/>
    <n v="47.08"/>
    <n v="161.26"/>
  </r>
  <r>
    <x v="475"/>
    <n v="27"/>
    <n v="49.41"/>
    <n v="164.92"/>
  </r>
  <r>
    <x v="476"/>
    <n v="37"/>
    <n v="50.67"/>
    <n v="180.58"/>
  </r>
  <r>
    <x v="477"/>
    <n v="31"/>
    <n v="54.6"/>
    <n v="214.46"/>
  </r>
  <r>
    <x v="478"/>
    <n v="27"/>
    <n v="44.47"/>
    <n v="161.25"/>
  </r>
  <r>
    <x v="479"/>
    <n v="31"/>
    <n v="48.46"/>
    <n v="199.94"/>
  </r>
  <r>
    <x v="480"/>
    <n v="31"/>
    <n v="40.200000000000003"/>
    <n v="145.69999999999999"/>
  </r>
  <r>
    <x v="481"/>
    <n v="36"/>
    <n v="51.23"/>
    <n v="231.54"/>
  </r>
  <r>
    <x v="482"/>
    <n v="37"/>
    <n v="52.3"/>
    <n v="197.38"/>
  </r>
  <r>
    <x v="483"/>
    <n v="30"/>
    <n v="39.1"/>
    <n v="193.28"/>
  </r>
  <r>
    <x v="484"/>
    <n v="36"/>
    <n v="49.31"/>
    <n v="158.26"/>
  </r>
  <r>
    <x v="485"/>
    <n v="28"/>
    <n v="49.53"/>
    <n v="153.77000000000001"/>
  </r>
  <r>
    <x v="486"/>
    <n v="39"/>
    <n v="54.27"/>
    <n v="135.74"/>
  </r>
  <r>
    <x v="487"/>
    <n v="29"/>
    <n v="42.73"/>
    <n v="194.33"/>
  </r>
  <r>
    <x v="488"/>
    <n v="37"/>
    <n v="54.29"/>
    <n v="148.13999999999999"/>
  </r>
  <r>
    <x v="489"/>
    <n v="37"/>
    <n v="39.619999999999997"/>
    <n v="141.72999999999999"/>
  </r>
  <r>
    <x v="490"/>
    <n v="33"/>
    <n v="53.08"/>
    <n v="189.26"/>
  </r>
  <r>
    <x v="491"/>
    <n v="38"/>
    <n v="44.57"/>
    <n v="179.69"/>
  </r>
  <r>
    <x v="492"/>
    <n v="29"/>
    <n v="37.630000000000003"/>
    <n v="166.13"/>
  </r>
  <r>
    <x v="493"/>
    <n v="34"/>
    <n v="42.56"/>
    <n v="166.33"/>
  </r>
  <r>
    <x v="494"/>
    <n v="34"/>
    <n v="47.95"/>
    <n v="213.86"/>
  </r>
  <r>
    <x v="495"/>
    <n v="36"/>
    <n v="54.7"/>
    <n v="168.76"/>
  </r>
  <r>
    <x v="496"/>
    <n v="32"/>
    <n v="52.01"/>
    <n v="148.1"/>
  </r>
  <r>
    <x v="497"/>
    <n v="33"/>
    <n v="40.49"/>
    <n v="233.8"/>
  </r>
  <r>
    <x v="498"/>
    <n v="32"/>
    <n v="39.07"/>
    <n v="223.36"/>
  </r>
  <r>
    <x v="499"/>
    <n v="30"/>
    <n v="47"/>
    <n v="219.04"/>
  </r>
  <r>
    <x v="500"/>
    <n v="29"/>
    <n v="53.93"/>
    <n v="149.27000000000001"/>
  </r>
  <r>
    <x v="501"/>
    <n v="35"/>
    <n v="38.36"/>
    <n v="201.44"/>
  </r>
  <r>
    <x v="502"/>
    <n v="36"/>
    <n v="53.26"/>
    <n v="150.62"/>
  </r>
  <r>
    <x v="503"/>
    <n v="30"/>
    <n v="52.64"/>
    <n v="224.44"/>
  </r>
  <r>
    <x v="504"/>
    <n v="35"/>
    <n v="54.84"/>
    <n v="217.11"/>
  </r>
  <r>
    <x v="505"/>
    <n v="29"/>
    <n v="45.17"/>
    <n v="187.37"/>
  </r>
  <r>
    <x v="506"/>
    <n v="39"/>
    <n v="37.729999999999997"/>
    <n v="175.97"/>
  </r>
  <r>
    <x v="507"/>
    <n v="31"/>
    <n v="52.07"/>
    <n v="141.44"/>
  </r>
  <r>
    <x v="508"/>
    <n v="34"/>
    <n v="54.42"/>
    <n v="224.44"/>
  </r>
  <r>
    <x v="509"/>
    <n v="38"/>
    <n v="47.49"/>
    <n v="191.5"/>
  </r>
  <r>
    <x v="510"/>
    <n v="38"/>
    <n v="48.66"/>
    <n v="196.45"/>
  </r>
  <r>
    <x v="511"/>
    <n v="39"/>
    <n v="47.54"/>
    <n v="160.66"/>
  </r>
  <r>
    <x v="512"/>
    <n v="36"/>
    <n v="42.76"/>
    <n v="159.26"/>
  </r>
  <r>
    <x v="513"/>
    <n v="33"/>
    <n v="37.04"/>
    <n v="191.79"/>
  </r>
  <r>
    <x v="514"/>
    <n v="37"/>
    <n v="40.380000000000003"/>
    <n v="166.7"/>
  </r>
  <r>
    <x v="515"/>
    <n v="36"/>
    <n v="45.85"/>
    <n v="206.66"/>
  </r>
  <r>
    <x v="516"/>
    <n v="34"/>
    <n v="51.79"/>
    <n v="199.99"/>
  </r>
  <r>
    <x v="517"/>
    <n v="31"/>
    <n v="46.07"/>
    <n v="172.66"/>
  </r>
  <r>
    <x v="518"/>
    <n v="30"/>
    <n v="53.14"/>
    <n v="174.07"/>
  </r>
  <r>
    <x v="519"/>
    <n v="32"/>
    <n v="53.19"/>
    <n v="209.77"/>
  </r>
  <r>
    <x v="520"/>
    <n v="30"/>
    <n v="46.07"/>
    <n v="220.26"/>
  </r>
  <r>
    <x v="521"/>
    <n v="40"/>
    <n v="52.86"/>
    <n v="161.22"/>
  </r>
  <r>
    <x v="522"/>
    <n v="36"/>
    <n v="40.31"/>
    <n v="162.54"/>
  </r>
  <r>
    <x v="523"/>
    <n v="36"/>
    <n v="41.1"/>
    <n v="139.38"/>
  </r>
  <r>
    <x v="524"/>
    <n v="33"/>
    <n v="51.81"/>
    <n v="181.39"/>
  </r>
  <r>
    <x v="525"/>
    <n v="36"/>
    <n v="47.12"/>
    <n v="216.67"/>
  </r>
  <r>
    <x v="526"/>
    <n v="29"/>
    <n v="50.41"/>
    <n v="179.74"/>
  </r>
  <r>
    <x v="527"/>
    <n v="33"/>
    <n v="48.23"/>
    <n v="220.67"/>
  </r>
  <r>
    <x v="528"/>
    <n v="38"/>
    <n v="50.85"/>
    <n v="191.31"/>
  </r>
  <r>
    <x v="529"/>
    <n v="39"/>
    <n v="47.66"/>
    <n v="230.76"/>
  </r>
  <r>
    <x v="530"/>
    <n v="34"/>
    <n v="49.95"/>
    <n v="225.33"/>
  </r>
  <r>
    <x v="531"/>
    <n v="32"/>
    <n v="44.77"/>
    <n v="229"/>
  </r>
  <r>
    <x v="532"/>
    <n v="29"/>
    <n v="44.3"/>
    <n v="185.39"/>
  </r>
  <r>
    <x v="533"/>
    <n v="35"/>
    <n v="49.01"/>
    <n v="184.21"/>
  </r>
  <r>
    <x v="534"/>
    <n v="39"/>
    <n v="47.55"/>
    <n v="153.13999999999999"/>
  </r>
  <r>
    <x v="535"/>
    <n v="38"/>
    <n v="38.700000000000003"/>
    <n v="189.25"/>
  </r>
  <r>
    <x v="536"/>
    <n v="30"/>
    <n v="41.15"/>
    <n v="150.79"/>
  </r>
  <r>
    <x v="537"/>
    <n v="33"/>
    <n v="38.6"/>
    <n v="154.88999999999999"/>
  </r>
  <r>
    <x v="538"/>
    <n v="40"/>
    <n v="39.75"/>
    <n v="158.51"/>
  </r>
  <r>
    <x v="539"/>
    <n v="33"/>
    <n v="46.87"/>
    <n v="169.88"/>
  </r>
  <r>
    <x v="540"/>
    <n v="29"/>
    <n v="50.32"/>
    <n v="188.86"/>
  </r>
  <r>
    <x v="541"/>
    <n v="38"/>
    <n v="47.75"/>
    <n v="214.79"/>
  </r>
  <r>
    <x v="542"/>
    <n v="36"/>
    <n v="46.06"/>
    <n v="202.34"/>
  </r>
  <r>
    <x v="543"/>
    <n v="36"/>
    <n v="40.6"/>
    <n v="140.80000000000001"/>
  </r>
  <r>
    <x v="544"/>
    <n v="36"/>
    <n v="38.229999999999997"/>
    <n v="197.28"/>
  </r>
  <r>
    <x v="545"/>
    <n v="41"/>
    <n v="51.52"/>
    <n v="181.37"/>
  </r>
  <r>
    <x v="546"/>
    <n v="40"/>
    <n v="50.8"/>
    <n v="142.12"/>
  </r>
  <r>
    <x v="547"/>
    <n v="35"/>
    <n v="49.21"/>
    <n v="213.67"/>
  </r>
  <r>
    <x v="548"/>
    <n v="39"/>
    <n v="42.88"/>
    <n v="174.88"/>
  </r>
  <r>
    <x v="549"/>
    <n v="36"/>
    <n v="49.39"/>
    <n v="142.71"/>
  </r>
  <r>
    <x v="550"/>
    <n v="41"/>
    <n v="44.78"/>
    <n v="179.32"/>
  </r>
  <r>
    <x v="551"/>
    <n v="30"/>
    <n v="47"/>
    <n v="230.3"/>
  </r>
  <r>
    <x v="552"/>
    <n v="34"/>
    <n v="53.65"/>
    <n v="146.01"/>
  </r>
  <r>
    <x v="553"/>
    <n v="39"/>
    <n v="55.15"/>
    <n v="213.74"/>
  </r>
  <r>
    <x v="554"/>
    <n v="33"/>
    <n v="54.99"/>
    <n v="169.11"/>
  </r>
  <r>
    <x v="555"/>
    <n v="30"/>
    <n v="44.95"/>
    <n v="154.36000000000001"/>
  </r>
  <r>
    <x v="556"/>
    <n v="38"/>
    <n v="38.4"/>
    <n v="150.77000000000001"/>
  </r>
  <r>
    <x v="557"/>
    <n v="34"/>
    <n v="51.28"/>
    <n v="198.76"/>
  </r>
  <r>
    <x v="558"/>
    <n v="38"/>
    <n v="43.8"/>
    <n v="153.47999999999999"/>
  </r>
  <r>
    <x v="559"/>
    <n v="34"/>
    <n v="42.38"/>
    <n v="220.09"/>
  </r>
  <r>
    <x v="560"/>
    <n v="37"/>
    <n v="53.63"/>
    <n v="211.39"/>
  </r>
  <r>
    <x v="561"/>
    <n v="41"/>
    <n v="40.15"/>
    <n v="207.92"/>
  </r>
  <r>
    <x v="562"/>
    <n v="33"/>
    <n v="49.52"/>
    <n v="232.91"/>
  </r>
  <r>
    <x v="563"/>
    <n v="39"/>
    <n v="51.5"/>
    <n v="226.01"/>
  </r>
  <r>
    <x v="564"/>
    <n v="35"/>
    <n v="51.62"/>
    <n v="221.94"/>
  </r>
  <r>
    <x v="565"/>
    <n v="32"/>
    <n v="36.53"/>
    <n v="202.79"/>
  </r>
  <r>
    <x v="566"/>
    <n v="41"/>
    <n v="37.21"/>
    <n v="234.39"/>
  </r>
  <r>
    <x v="567"/>
    <n v="32"/>
    <n v="44.91"/>
    <n v="203.47"/>
  </r>
  <r>
    <x v="568"/>
    <n v="32"/>
    <n v="43.6"/>
    <n v="180.83"/>
  </r>
  <r>
    <x v="569"/>
    <n v="36"/>
    <n v="51.65"/>
    <n v="197.21"/>
  </r>
  <r>
    <x v="570"/>
    <n v="36"/>
    <n v="39.31"/>
    <n v="182.43"/>
  </r>
  <r>
    <x v="571"/>
    <n v="42"/>
    <n v="49.19"/>
    <n v="231.31"/>
  </r>
  <r>
    <x v="572"/>
    <n v="30"/>
    <n v="45.96"/>
    <n v="173.39"/>
  </r>
  <r>
    <x v="573"/>
    <n v="37"/>
    <n v="36.520000000000003"/>
    <n v="177.69"/>
  </r>
  <r>
    <x v="574"/>
    <n v="40"/>
    <n v="54.98"/>
    <n v="201.19"/>
  </r>
  <r>
    <x v="575"/>
    <n v="34"/>
    <n v="40.659999999999997"/>
    <n v="156.11000000000001"/>
  </r>
  <r>
    <x v="576"/>
    <n v="36"/>
    <n v="42.54"/>
    <n v="134.96"/>
  </r>
  <r>
    <x v="577"/>
    <n v="34"/>
    <n v="37.64"/>
    <n v="183.56"/>
  </r>
  <r>
    <x v="578"/>
    <n v="41"/>
    <n v="41.99"/>
    <n v="159.15"/>
  </r>
  <r>
    <x v="579"/>
    <n v="37"/>
    <n v="38.29"/>
    <n v="152.69"/>
  </r>
  <r>
    <x v="580"/>
    <n v="36"/>
    <n v="42.42"/>
    <n v="199.91"/>
  </r>
  <r>
    <x v="581"/>
    <n v="31"/>
    <n v="44.76"/>
    <n v="150.32"/>
  </r>
  <r>
    <x v="582"/>
    <n v="32"/>
    <n v="47.6"/>
    <n v="200.91"/>
  </r>
  <r>
    <x v="583"/>
    <n v="41"/>
    <n v="40.74"/>
    <n v="142.81"/>
  </r>
  <r>
    <x v="584"/>
    <n v="36"/>
    <n v="55.51"/>
    <n v="175.26"/>
  </r>
  <r>
    <x v="585"/>
    <n v="42"/>
    <n v="45.94"/>
    <n v="189.46"/>
  </r>
  <r>
    <x v="586"/>
    <n v="40"/>
    <n v="51.37"/>
    <n v="147.49"/>
  </r>
  <r>
    <x v="587"/>
    <n v="39"/>
    <n v="41.31"/>
    <n v="166.67"/>
  </r>
  <r>
    <x v="588"/>
    <n v="42"/>
    <n v="38.69"/>
    <n v="183.61"/>
  </r>
  <r>
    <x v="589"/>
    <n v="32"/>
    <n v="48.43"/>
    <n v="143.66999999999999"/>
  </r>
  <r>
    <x v="590"/>
    <n v="39"/>
    <n v="45.3"/>
    <n v="176.67"/>
  </r>
  <r>
    <x v="591"/>
    <n v="39"/>
    <n v="40.71"/>
    <n v="175.64"/>
  </r>
  <r>
    <x v="592"/>
    <n v="40"/>
    <n v="53.27"/>
    <n v="143.16999999999999"/>
  </r>
  <r>
    <x v="593"/>
    <n v="41"/>
    <n v="55.74"/>
    <n v="191.58"/>
  </r>
  <r>
    <x v="594"/>
    <n v="35"/>
    <n v="53.33"/>
    <n v="145.43"/>
  </r>
  <r>
    <x v="595"/>
    <n v="32"/>
    <n v="44.4"/>
    <n v="176.66"/>
  </r>
  <r>
    <x v="596"/>
    <n v="37"/>
    <n v="53.68"/>
    <n v="204.13"/>
  </r>
  <r>
    <x v="597"/>
    <n v="33"/>
    <n v="48.78"/>
    <n v="217.11"/>
  </r>
  <r>
    <x v="598"/>
    <n v="43"/>
    <n v="38.01"/>
    <n v="210.07"/>
  </r>
  <r>
    <x v="599"/>
    <n v="37"/>
    <n v="37.200000000000003"/>
    <n v="142.78"/>
  </r>
  <r>
    <x v="600"/>
    <n v="33"/>
    <n v="42.55"/>
    <n v="186.51"/>
  </r>
  <r>
    <x v="601"/>
    <n v="36"/>
    <n v="53.88"/>
    <n v="221.54"/>
  </r>
  <r>
    <x v="602"/>
    <n v="40"/>
    <n v="50.84"/>
    <n v="203.3"/>
  </r>
  <r>
    <x v="603"/>
    <n v="34"/>
    <n v="41.6"/>
    <n v="163.93"/>
  </r>
  <r>
    <x v="604"/>
    <n v="31"/>
    <n v="49.55"/>
    <n v="161.94"/>
  </r>
  <r>
    <x v="605"/>
    <n v="39"/>
    <n v="40.5"/>
    <n v="185.64"/>
  </r>
  <r>
    <x v="606"/>
    <n v="40"/>
    <n v="36.340000000000003"/>
    <n v="215.75"/>
  </r>
  <r>
    <x v="607"/>
    <n v="40"/>
    <n v="40.130000000000003"/>
    <n v="183.06"/>
  </r>
  <r>
    <x v="608"/>
    <n v="39"/>
    <n v="48.52"/>
    <n v="222.56"/>
  </r>
  <r>
    <x v="609"/>
    <n v="37"/>
    <n v="55.84"/>
    <n v="141.28"/>
  </r>
  <r>
    <x v="610"/>
    <n v="38"/>
    <n v="38.409999999999997"/>
    <n v="228.39"/>
  </r>
  <r>
    <x v="611"/>
    <n v="41"/>
    <n v="46.16"/>
    <n v="221.75"/>
  </r>
  <r>
    <x v="612"/>
    <n v="40"/>
    <n v="43.93"/>
    <n v="220.96"/>
  </r>
  <r>
    <x v="613"/>
    <n v="42"/>
    <n v="37.9"/>
    <n v="208.05"/>
  </r>
  <r>
    <x v="614"/>
    <n v="39"/>
    <n v="54.25"/>
    <n v="197.4"/>
  </r>
  <r>
    <x v="615"/>
    <n v="40"/>
    <n v="47.28"/>
    <n v="204.52"/>
  </r>
  <r>
    <x v="616"/>
    <n v="32"/>
    <n v="54.46"/>
    <n v="172.48"/>
  </r>
  <r>
    <x v="617"/>
    <n v="40"/>
    <n v="41.86"/>
    <n v="202.32"/>
  </r>
  <r>
    <x v="618"/>
    <n v="36"/>
    <n v="42"/>
    <n v="209.14"/>
  </r>
  <r>
    <x v="619"/>
    <n v="36"/>
    <n v="53.79"/>
    <n v="197.91"/>
  </r>
  <r>
    <x v="620"/>
    <n v="32"/>
    <n v="39.090000000000003"/>
    <n v="150.04"/>
  </r>
  <r>
    <x v="621"/>
    <n v="44"/>
    <n v="50.05"/>
    <n v="135.30000000000001"/>
  </r>
  <r>
    <x v="622"/>
    <n v="41"/>
    <n v="39.729999999999997"/>
    <n v="233.18"/>
  </r>
  <r>
    <x v="623"/>
    <n v="36"/>
    <n v="35.96"/>
    <n v="205.84"/>
  </r>
  <r>
    <x v="624"/>
    <n v="33"/>
    <n v="44.22"/>
    <n v="231.88"/>
  </r>
  <r>
    <x v="625"/>
    <n v="38"/>
    <n v="35.869999999999997"/>
    <n v="208.09"/>
  </r>
  <r>
    <x v="626"/>
    <n v="40"/>
    <n v="49.6"/>
    <n v="159.13"/>
  </r>
  <r>
    <x v="627"/>
    <n v="35"/>
    <n v="38.31"/>
    <n v="170.93"/>
  </r>
  <r>
    <x v="628"/>
    <n v="34"/>
    <n v="55.51"/>
    <n v="161.47999999999999"/>
  </r>
  <r>
    <x v="629"/>
    <n v="39"/>
    <n v="42.76"/>
    <n v="158.28"/>
  </r>
  <r>
    <x v="630"/>
    <n v="33"/>
    <n v="49.78"/>
    <n v="158.19"/>
  </r>
  <r>
    <x v="631"/>
    <n v="34"/>
    <n v="44.73"/>
    <n v="220.39"/>
  </r>
  <r>
    <x v="632"/>
    <n v="34"/>
    <n v="46.93"/>
    <n v="232.65"/>
  </r>
  <r>
    <x v="633"/>
    <n v="36"/>
    <n v="39.67"/>
    <n v="186.68"/>
  </r>
  <r>
    <x v="634"/>
    <n v="40"/>
    <n v="39.340000000000003"/>
    <n v="151.47999999999999"/>
  </r>
  <r>
    <x v="635"/>
    <n v="34"/>
    <n v="45.43"/>
    <n v="197.11"/>
  </r>
  <r>
    <x v="636"/>
    <n v="37"/>
    <n v="38.22"/>
    <n v="183.17"/>
  </r>
  <r>
    <x v="637"/>
    <n v="43"/>
    <n v="38.76"/>
    <n v="167.28"/>
  </r>
  <r>
    <x v="638"/>
    <n v="37"/>
    <n v="46.49"/>
    <n v="135.13"/>
  </r>
  <r>
    <x v="639"/>
    <n v="41"/>
    <n v="45.37"/>
    <n v="185.15"/>
  </r>
  <r>
    <x v="640"/>
    <n v="33"/>
    <n v="39.770000000000003"/>
    <n v="198.62"/>
  </r>
  <r>
    <x v="641"/>
    <n v="33"/>
    <n v="41.78"/>
    <n v="200.91"/>
  </r>
  <r>
    <x v="642"/>
    <n v="42"/>
    <n v="38.08"/>
    <n v="232.75"/>
  </r>
  <r>
    <x v="643"/>
    <n v="36"/>
    <n v="54.67"/>
    <n v="156.44999999999999"/>
  </r>
  <r>
    <x v="644"/>
    <n v="42"/>
    <n v="45.13"/>
    <n v="153.74"/>
  </r>
  <r>
    <x v="645"/>
    <n v="38"/>
    <n v="50.69"/>
    <n v="199.39"/>
  </r>
  <r>
    <x v="646"/>
    <n v="42"/>
    <n v="36.840000000000003"/>
    <n v="230.34"/>
  </r>
  <r>
    <x v="647"/>
    <n v="35"/>
    <n v="49.66"/>
    <n v="197.87"/>
  </r>
  <r>
    <x v="648"/>
    <n v="39"/>
    <n v="38.32"/>
    <n v="159.4"/>
  </r>
  <r>
    <x v="649"/>
    <n v="36"/>
    <n v="44.64"/>
    <n v="152.72999999999999"/>
  </r>
  <r>
    <x v="650"/>
    <n v="34"/>
    <n v="48.69"/>
    <n v="189.03"/>
  </r>
  <r>
    <x v="651"/>
    <n v="34"/>
    <n v="44.45"/>
    <n v="169.8"/>
  </r>
  <r>
    <x v="652"/>
    <n v="39"/>
    <n v="55.18"/>
    <n v="147.29"/>
  </r>
  <r>
    <x v="653"/>
    <n v="37"/>
    <n v="37.67"/>
    <n v="223.43"/>
  </r>
  <r>
    <x v="654"/>
    <n v="39"/>
    <n v="53.78"/>
    <n v="230.27"/>
  </r>
  <r>
    <x v="655"/>
    <n v="42"/>
    <n v="51.14"/>
    <n v="146"/>
  </r>
  <r>
    <x v="656"/>
    <n v="43"/>
    <n v="49.6"/>
    <n v="150.41999999999999"/>
  </r>
  <r>
    <x v="657"/>
    <n v="42"/>
    <n v="47.66"/>
    <n v="229.73"/>
  </r>
  <r>
    <x v="658"/>
    <n v="40"/>
    <n v="51.02"/>
    <n v="192.59"/>
  </r>
  <r>
    <x v="659"/>
    <n v="43"/>
    <n v="44.8"/>
    <n v="193.87"/>
  </r>
  <r>
    <x v="660"/>
    <n v="38"/>
    <n v="42.55"/>
    <n v="156.33000000000001"/>
  </r>
  <r>
    <x v="661"/>
    <n v="36"/>
    <n v="38.03"/>
    <n v="152.38"/>
  </r>
  <r>
    <x v="662"/>
    <n v="34"/>
    <n v="55.46"/>
    <n v="163.82"/>
  </r>
  <r>
    <x v="663"/>
    <n v="42"/>
    <n v="38.200000000000003"/>
    <n v="224.57"/>
  </r>
  <r>
    <x v="664"/>
    <n v="38"/>
    <n v="48.63"/>
    <n v="214.57"/>
  </r>
  <r>
    <x v="665"/>
    <n v="42"/>
    <n v="41.48"/>
    <n v="216.04"/>
  </r>
  <r>
    <x v="666"/>
    <n v="44"/>
    <n v="53.83"/>
    <n v="162.22"/>
  </r>
  <r>
    <x v="667"/>
    <n v="44"/>
    <n v="46.56"/>
    <n v="234.02"/>
  </r>
  <r>
    <x v="668"/>
    <n v="34"/>
    <n v="41.57"/>
    <n v="155.78"/>
  </r>
  <r>
    <x v="669"/>
    <n v="39"/>
    <n v="42.1"/>
    <n v="210.91"/>
  </r>
  <r>
    <x v="670"/>
    <n v="38"/>
    <n v="43.89"/>
    <n v="141.16999999999999"/>
  </r>
  <r>
    <x v="671"/>
    <n v="39"/>
    <n v="47.41"/>
    <n v="193.12"/>
  </r>
  <r>
    <x v="672"/>
    <n v="39"/>
    <n v="42.47"/>
    <n v="163.03"/>
  </r>
  <r>
    <x v="673"/>
    <n v="39"/>
    <n v="44.38"/>
    <n v="224.2"/>
  </r>
  <r>
    <x v="674"/>
    <n v="37"/>
    <n v="39.64"/>
    <n v="137.55000000000001"/>
  </r>
  <r>
    <x v="675"/>
    <n v="36"/>
    <n v="54.94"/>
    <n v="197.45"/>
  </r>
  <r>
    <x v="676"/>
    <n v="40"/>
    <n v="48.95"/>
    <n v="161.38999999999999"/>
  </r>
  <r>
    <x v="677"/>
    <n v="45"/>
    <n v="42.31"/>
    <n v="220.97"/>
  </r>
  <r>
    <x v="678"/>
    <n v="34"/>
    <n v="51.63"/>
    <n v="160.1"/>
  </r>
  <r>
    <x v="679"/>
    <n v="41"/>
    <n v="36.380000000000003"/>
    <n v="221.37"/>
  </r>
  <r>
    <x v="680"/>
    <n v="43"/>
    <n v="37.15"/>
    <n v="223.93"/>
  </r>
  <r>
    <x v="681"/>
    <n v="45"/>
    <n v="54.03"/>
    <n v="212.15"/>
  </r>
  <r>
    <x v="682"/>
    <n v="45"/>
    <n v="43.04"/>
    <n v="227.74"/>
  </r>
  <r>
    <x v="683"/>
    <n v="41"/>
    <n v="35.619999999999997"/>
    <n v="231.27"/>
  </r>
  <r>
    <x v="684"/>
    <n v="42"/>
    <n v="40.64"/>
    <n v="178.99"/>
  </r>
  <r>
    <x v="685"/>
    <n v="39"/>
    <n v="35.909999999999997"/>
    <n v="201.25"/>
  </r>
  <r>
    <x v="686"/>
    <n v="39"/>
    <n v="47.81"/>
    <n v="201.94"/>
  </r>
  <r>
    <x v="687"/>
    <n v="37"/>
    <n v="41.56"/>
    <n v="210.37"/>
  </r>
  <r>
    <x v="688"/>
    <n v="39"/>
    <n v="53.39"/>
    <n v="185.65"/>
  </r>
  <r>
    <x v="689"/>
    <n v="40"/>
    <n v="36.17"/>
    <n v="171.96"/>
  </r>
  <r>
    <x v="690"/>
    <n v="45"/>
    <n v="50.6"/>
    <n v="141.44999999999999"/>
  </r>
  <r>
    <x v="691"/>
    <n v="36"/>
    <n v="53.25"/>
    <n v="136.65"/>
  </r>
  <r>
    <x v="692"/>
    <n v="43"/>
    <n v="44.73"/>
    <n v="203.74"/>
  </r>
  <r>
    <x v="693"/>
    <n v="44"/>
    <n v="44.55"/>
    <n v="222.54"/>
  </r>
  <r>
    <x v="694"/>
    <n v="39"/>
    <n v="46.12"/>
    <n v="135.56"/>
  </r>
  <r>
    <x v="695"/>
    <n v="38"/>
    <n v="36.549999999999997"/>
    <n v="219.38"/>
  </r>
  <r>
    <x v="696"/>
    <n v="44"/>
    <n v="50.59"/>
    <n v="226.88"/>
  </r>
  <r>
    <x v="697"/>
    <n v="45"/>
    <n v="45.42"/>
    <n v="172.93"/>
  </r>
  <r>
    <x v="698"/>
    <n v="38"/>
    <n v="50.48"/>
    <n v="229.44"/>
  </r>
  <r>
    <x v="699"/>
    <n v="45"/>
    <n v="45.09"/>
    <n v="204.69"/>
  </r>
  <r>
    <x v="700"/>
    <n v="37"/>
    <n v="35.69"/>
    <n v="149.29"/>
  </r>
  <r>
    <x v="701"/>
    <n v="43"/>
    <n v="38.71"/>
    <n v="151.59"/>
  </r>
  <r>
    <x v="702"/>
    <n v="45"/>
    <n v="54.44"/>
    <n v="167.02"/>
  </r>
  <r>
    <x v="703"/>
    <n v="44"/>
    <n v="37.24"/>
    <n v="229.24"/>
  </r>
  <r>
    <x v="704"/>
    <n v="40"/>
    <n v="42.13"/>
    <n v="219.54"/>
  </r>
  <r>
    <x v="705"/>
    <n v="42"/>
    <n v="40.36"/>
    <n v="225.58"/>
  </r>
  <r>
    <x v="706"/>
    <n v="35"/>
    <n v="47.06"/>
    <n v="193.45"/>
  </r>
  <r>
    <x v="707"/>
    <n v="45"/>
    <n v="37.619999999999997"/>
    <n v="172.28"/>
  </r>
  <r>
    <x v="708"/>
    <n v="37"/>
    <n v="43.19"/>
    <n v="159.55000000000001"/>
  </r>
  <r>
    <x v="709"/>
    <n v="40"/>
    <n v="54.8"/>
    <n v="198.84"/>
  </r>
  <r>
    <x v="710"/>
    <n v="37"/>
    <n v="50.64"/>
    <n v="222.1"/>
  </r>
  <r>
    <x v="711"/>
    <n v="37"/>
    <n v="40.880000000000003"/>
    <n v="154.27000000000001"/>
  </r>
  <r>
    <x v="712"/>
    <n v="46"/>
    <n v="47.24"/>
    <n v="173.39"/>
  </r>
  <r>
    <x v="713"/>
    <n v="45"/>
    <n v="53.71"/>
    <n v="186.72"/>
  </r>
  <r>
    <x v="714"/>
    <n v="42"/>
    <n v="44.6"/>
    <n v="162.62"/>
  </r>
  <r>
    <x v="715"/>
    <n v="42"/>
    <n v="54.31"/>
    <n v="205.01"/>
  </r>
  <r>
    <x v="716"/>
    <n v="36"/>
    <n v="48.91"/>
    <n v="166.82"/>
  </r>
  <r>
    <x v="717"/>
    <n v="38"/>
    <n v="40.299999999999997"/>
    <n v="171.69"/>
  </r>
  <r>
    <x v="718"/>
    <n v="41"/>
    <n v="37.97"/>
    <n v="225.98"/>
  </r>
  <r>
    <x v="719"/>
    <n v="36"/>
    <n v="45.51"/>
    <n v="179.96"/>
  </r>
  <r>
    <x v="720"/>
    <n v="40"/>
    <n v="45.78"/>
    <n v="142.59"/>
  </r>
  <r>
    <x v="721"/>
    <n v="37"/>
    <n v="49.11"/>
    <n v="225.63"/>
  </r>
  <r>
    <x v="722"/>
    <n v="45"/>
    <n v="54.54"/>
    <n v="153.52000000000001"/>
  </r>
  <r>
    <x v="723"/>
    <n v="45"/>
    <n v="50.05"/>
    <n v="167.58"/>
  </r>
  <r>
    <x v="724"/>
    <n v="44"/>
    <n v="47.01"/>
    <n v="171.5"/>
  </r>
  <r>
    <x v="725"/>
    <n v="47"/>
    <n v="46.57"/>
    <n v="230.21"/>
  </r>
  <r>
    <x v="726"/>
    <n v="45"/>
    <n v="48.81"/>
    <n v="174.31"/>
  </r>
  <r>
    <x v="727"/>
    <n v="36"/>
    <n v="43.93"/>
    <n v="135.49"/>
  </r>
  <r>
    <x v="728"/>
    <n v="46"/>
    <n v="38.520000000000003"/>
    <n v="194.74"/>
  </r>
  <r>
    <x v="729"/>
    <n v="38"/>
    <n v="49.72"/>
    <n v="204.23"/>
  </r>
  <r>
    <x v="730"/>
    <n v="35"/>
    <n v="48.7"/>
    <n v="186.6"/>
  </r>
  <r>
    <x v="731"/>
    <n v="40"/>
    <n v="44.65"/>
    <n v="222"/>
  </r>
  <r>
    <x v="732"/>
    <n v="43"/>
    <n v="49.11"/>
    <n v="157.71"/>
  </r>
  <r>
    <x v="733"/>
    <n v="42"/>
    <n v="41.83"/>
    <n v="231.75"/>
  </r>
  <r>
    <x v="734"/>
    <n v="44"/>
    <n v="40.549999999999997"/>
    <n v="169.04"/>
  </r>
  <r>
    <x v="735"/>
    <n v="44"/>
    <n v="45.34"/>
    <n v="151.35"/>
  </r>
  <r>
    <x v="736"/>
    <n v="47"/>
    <n v="38.15"/>
    <n v="187.99"/>
  </r>
  <r>
    <x v="737"/>
    <n v="41"/>
    <n v="46.29"/>
    <n v="165.11"/>
  </r>
  <r>
    <x v="738"/>
    <n v="43"/>
    <n v="50.41"/>
    <n v="136.26"/>
  </r>
  <r>
    <x v="739"/>
    <n v="38"/>
    <n v="53.33"/>
    <n v="150.58000000000001"/>
  </r>
  <r>
    <x v="740"/>
    <n v="42"/>
    <n v="51.72"/>
    <n v="219.64"/>
  </r>
  <r>
    <x v="741"/>
    <n v="41"/>
    <n v="35.090000000000003"/>
    <n v="178.72"/>
  </r>
  <r>
    <x v="742"/>
    <n v="38"/>
    <n v="47.93"/>
    <n v="164.94"/>
  </r>
  <r>
    <x v="743"/>
    <n v="41"/>
    <n v="49.76"/>
    <n v="205.26"/>
  </r>
  <r>
    <x v="744"/>
    <n v="37"/>
    <n v="46.81"/>
    <n v="172.25"/>
  </r>
  <r>
    <x v="745"/>
    <n v="40"/>
    <n v="42.94"/>
    <n v="153.28"/>
  </r>
  <r>
    <x v="746"/>
    <n v="45"/>
    <n v="40.159999999999997"/>
    <n v="152.72999999999999"/>
  </r>
  <r>
    <x v="747"/>
    <n v="39"/>
    <n v="44.98"/>
    <n v="213.9"/>
  </r>
  <r>
    <x v="748"/>
    <n v="42"/>
    <n v="35.229999999999997"/>
    <n v="196.01"/>
  </r>
  <r>
    <x v="749"/>
    <n v="46"/>
    <n v="44.87"/>
    <n v="173.21"/>
  </r>
  <r>
    <x v="750"/>
    <n v="41"/>
    <n v="53.78"/>
    <n v="232.65"/>
  </r>
  <r>
    <x v="751"/>
    <n v="41"/>
    <n v="54.52"/>
    <n v="184.68"/>
  </r>
  <r>
    <x v="752"/>
    <n v="40"/>
    <n v="43.31"/>
    <n v="167.82"/>
  </r>
  <r>
    <x v="753"/>
    <n v="46"/>
    <n v="51.27"/>
    <n v="181.77"/>
  </r>
  <r>
    <x v="754"/>
    <n v="37"/>
    <n v="38.380000000000003"/>
    <n v="231.39"/>
  </r>
  <r>
    <x v="755"/>
    <n v="38"/>
    <n v="47.93"/>
    <n v="189.56"/>
  </r>
  <r>
    <x v="756"/>
    <n v="41"/>
    <n v="46.95"/>
    <n v="135.05000000000001"/>
  </r>
  <r>
    <x v="757"/>
    <n v="47"/>
    <n v="37.869999999999997"/>
    <n v="150.66999999999999"/>
  </r>
  <r>
    <x v="758"/>
    <n v="39"/>
    <n v="53.58"/>
    <n v="194.56"/>
  </r>
  <r>
    <x v="759"/>
    <n v="40"/>
    <n v="46.3"/>
    <n v="194.49"/>
  </r>
  <r>
    <x v="760"/>
    <n v="41"/>
    <n v="54.05"/>
    <n v="230.92"/>
  </r>
  <r>
    <x v="761"/>
    <n v="37"/>
    <n v="47.99"/>
    <n v="202.72"/>
  </r>
  <r>
    <x v="762"/>
    <n v="43"/>
    <n v="50.37"/>
    <n v="199.38"/>
  </r>
  <r>
    <x v="763"/>
    <n v="48"/>
    <n v="51.47"/>
    <n v="217.96"/>
  </r>
  <r>
    <x v="764"/>
    <n v="46"/>
    <n v="49.09"/>
    <n v="210.75"/>
  </r>
  <r>
    <x v="765"/>
    <n v="41"/>
    <n v="40.07"/>
    <n v="169.98"/>
  </r>
  <r>
    <x v="766"/>
    <n v="43"/>
    <n v="40.71"/>
    <n v="148.32"/>
  </r>
  <r>
    <x v="767"/>
    <n v="41"/>
    <n v="39.1"/>
    <n v="161.85"/>
  </r>
  <r>
    <x v="768"/>
    <n v="41"/>
    <n v="44.5"/>
    <n v="210.16"/>
  </r>
  <r>
    <x v="769"/>
    <n v="45"/>
    <n v="51.24"/>
    <n v="188.19"/>
  </r>
  <r>
    <x v="770"/>
    <n v="40"/>
    <n v="44.45"/>
    <n v="210.6"/>
  </r>
  <r>
    <x v="771"/>
    <n v="46"/>
    <n v="50.62"/>
    <n v="199.73"/>
  </r>
  <r>
    <x v="772"/>
    <n v="43"/>
    <n v="43.3"/>
    <n v="181.78"/>
  </r>
  <r>
    <x v="773"/>
    <n v="42"/>
    <n v="38.39"/>
    <n v="233.61"/>
  </r>
  <r>
    <x v="774"/>
    <n v="38"/>
    <n v="53.31"/>
    <n v="199.85"/>
  </r>
  <r>
    <x v="775"/>
    <n v="40"/>
    <n v="37.4"/>
    <n v="207.3"/>
  </r>
  <r>
    <x v="776"/>
    <n v="48"/>
    <n v="49.56"/>
    <n v="201.8"/>
  </r>
  <r>
    <x v="777"/>
    <n v="49"/>
    <n v="35.26"/>
    <n v="167.21"/>
  </r>
  <r>
    <x v="778"/>
    <n v="39"/>
    <n v="41.81"/>
    <n v="166.3"/>
  </r>
  <r>
    <x v="779"/>
    <n v="42"/>
    <n v="37.44"/>
    <n v="200.74"/>
  </r>
  <r>
    <x v="780"/>
    <n v="45"/>
    <n v="46.26"/>
    <n v="188.88"/>
  </r>
  <r>
    <x v="781"/>
    <n v="43"/>
    <n v="35.28"/>
    <n v="164.14"/>
  </r>
  <r>
    <x v="782"/>
    <n v="48"/>
    <n v="53.94"/>
    <n v="218.46"/>
  </r>
  <r>
    <x v="783"/>
    <n v="42"/>
    <n v="48.4"/>
    <n v="203.58"/>
  </r>
  <r>
    <x v="784"/>
    <n v="41"/>
    <n v="43.09"/>
    <n v="211.84"/>
  </r>
  <r>
    <x v="785"/>
    <n v="46"/>
    <n v="36.97"/>
    <n v="176.4"/>
  </r>
  <r>
    <x v="786"/>
    <n v="39"/>
    <n v="38"/>
    <n v="139.72999999999999"/>
  </r>
  <r>
    <x v="787"/>
    <n v="42"/>
    <n v="51.81"/>
    <n v="156.31"/>
  </r>
  <r>
    <x v="788"/>
    <n v="39"/>
    <n v="39.880000000000003"/>
    <n v="146.80000000000001"/>
  </r>
  <r>
    <x v="789"/>
    <n v="45"/>
    <n v="48.13"/>
    <n v="211.69"/>
  </r>
  <r>
    <x v="790"/>
    <n v="44"/>
    <n v="40.65"/>
    <n v="208.61"/>
  </r>
  <r>
    <x v="791"/>
    <n v="37"/>
    <n v="37.26"/>
    <n v="212.79"/>
  </r>
  <r>
    <x v="792"/>
    <n v="49"/>
    <n v="40.71"/>
    <n v="166.14"/>
  </r>
  <r>
    <x v="793"/>
    <n v="41"/>
    <n v="41.23"/>
    <n v="212.47"/>
  </r>
  <r>
    <x v="794"/>
    <n v="46"/>
    <n v="47.73"/>
    <n v="190.89"/>
  </r>
  <r>
    <x v="795"/>
    <n v="39"/>
    <n v="42.06"/>
    <n v="156.94999999999999"/>
  </r>
  <r>
    <x v="796"/>
    <n v="39"/>
    <n v="43.38"/>
    <n v="174.17"/>
  </r>
  <r>
    <x v="797"/>
    <n v="45"/>
    <n v="37.81"/>
    <n v="141.49"/>
  </r>
  <r>
    <x v="798"/>
    <n v="40"/>
    <n v="43.69"/>
    <n v="136.22999999999999"/>
  </r>
  <r>
    <x v="799"/>
    <n v="38"/>
    <n v="50.34"/>
    <n v="135.54"/>
  </r>
  <r>
    <x v="800"/>
    <n v="49"/>
    <n v="36.270000000000003"/>
    <n v="214.93"/>
  </r>
  <r>
    <x v="801"/>
    <n v="42"/>
    <n v="51.42"/>
    <n v="205.12"/>
  </r>
  <r>
    <x v="802"/>
    <n v="46"/>
    <n v="52.97"/>
    <n v="167.15"/>
  </r>
  <r>
    <x v="803"/>
    <n v="48"/>
    <n v="46.84"/>
    <n v="170.77"/>
  </r>
  <r>
    <x v="804"/>
    <n v="45"/>
    <n v="38.130000000000003"/>
    <n v="207.8"/>
  </r>
  <r>
    <x v="805"/>
    <n v="39"/>
    <n v="53.71"/>
    <n v="219.7"/>
  </r>
  <r>
    <x v="806"/>
    <n v="49"/>
    <n v="52.65"/>
    <n v="188.54"/>
  </r>
  <r>
    <x v="807"/>
    <n v="41"/>
    <n v="39.9"/>
    <n v="188.02"/>
  </r>
  <r>
    <x v="808"/>
    <n v="48"/>
    <n v="35.81"/>
    <n v="189.55"/>
  </r>
  <r>
    <x v="809"/>
    <n v="40"/>
    <n v="44.7"/>
    <n v="214.91"/>
  </r>
  <r>
    <x v="810"/>
    <n v="38"/>
    <n v="35.6"/>
    <n v="154.93"/>
  </r>
  <r>
    <x v="811"/>
    <n v="44"/>
    <n v="41.99"/>
    <n v="171.46"/>
  </r>
  <r>
    <x v="812"/>
    <n v="41"/>
    <n v="52.97"/>
    <n v="188.31"/>
  </r>
  <r>
    <x v="813"/>
    <n v="43"/>
    <n v="53.13"/>
    <n v="139.65"/>
  </r>
  <r>
    <x v="814"/>
    <n v="48"/>
    <n v="45.72"/>
    <n v="151.44999999999999"/>
  </r>
  <r>
    <x v="815"/>
    <n v="46"/>
    <n v="51.75"/>
    <n v="159.06"/>
  </r>
  <r>
    <x v="816"/>
    <n v="42"/>
    <n v="35.979999999999997"/>
    <n v="145.57"/>
  </r>
  <r>
    <x v="817"/>
    <n v="49"/>
    <n v="50.89"/>
    <n v="174.67"/>
  </r>
  <r>
    <x v="818"/>
    <n v="44"/>
    <n v="50.56"/>
    <n v="178.85"/>
  </r>
  <r>
    <x v="819"/>
    <n v="42"/>
    <n v="45.04"/>
    <n v="220.97"/>
  </r>
  <r>
    <x v="820"/>
    <n v="40"/>
    <n v="47.05"/>
    <n v="207.08"/>
  </r>
  <r>
    <x v="821"/>
    <n v="39"/>
    <n v="46.07"/>
    <n v="143.03"/>
  </r>
  <r>
    <x v="822"/>
    <n v="40"/>
    <n v="43.57"/>
    <n v="197.2"/>
  </r>
  <r>
    <x v="823"/>
    <n v="41"/>
    <n v="49.68"/>
    <n v="190.39"/>
  </r>
  <r>
    <x v="824"/>
    <n v="46"/>
    <n v="50.24"/>
    <n v="180.1"/>
  </r>
  <r>
    <x v="825"/>
    <n v="39"/>
    <n v="48.2"/>
    <n v="214.87"/>
  </r>
  <r>
    <x v="826"/>
    <n v="46"/>
    <n v="48.34"/>
    <n v="135.29"/>
  </r>
  <r>
    <x v="827"/>
    <n v="41"/>
    <n v="36.49"/>
    <n v="214.17"/>
  </r>
  <r>
    <x v="828"/>
    <n v="45"/>
    <n v="34.36"/>
    <n v="190.01"/>
  </r>
  <r>
    <x v="829"/>
    <n v="50"/>
    <n v="34.93"/>
    <n v="147.46"/>
  </r>
  <r>
    <x v="830"/>
    <n v="39"/>
    <n v="48.87"/>
    <n v="186.69"/>
  </r>
  <r>
    <x v="831"/>
    <n v="41"/>
    <n v="43.96"/>
    <n v="205.96"/>
  </r>
  <r>
    <x v="832"/>
    <n v="47"/>
    <n v="48.31"/>
    <n v="141.94"/>
  </r>
  <r>
    <x v="833"/>
    <n v="41"/>
    <n v="39.270000000000003"/>
    <n v="168.45"/>
  </r>
  <r>
    <x v="834"/>
    <n v="41"/>
    <n v="45.27"/>
    <n v="200.56"/>
  </r>
  <r>
    <x v="835"/>
    <n v="49"/>
    <n v="36.57"/>
    <n v="218.18"/>
  </r>
  <r>
    <x v="836"/>
    <n v="47"/>
    <n v="45.88"/>
    <n v="200.11"/>
  </r>
  <r>
    <x v="837"/>
    <n v="48"/>
    <n v="50.97"/>
    <n v="184.64"/>
  </r>
  <r>
    <x v="838"/>
    <n v="41"/>
    <n v="53.82"/>
    <n v="180.52"/>
  </r>
  <r>
    <x v="839"/>
    <n v="50"/>
    <n v="49.77"/>
    <n v="167.05"/>
  </r>
  <r>
    <x v="840"/>
    <n v="43"/>
    <n v="50.93"/>
    <n v="170.7"/>
  </r>
  <r>
    <x v="841"/>
    <n v="46"/>
    <n v="47.78"/>
    <n v="195.97"/>
  </r>
  <r>
    <x v="842"/>
    <n v="40"/>
    <n v="50.1"/>
    <n v="150.69"/>
  </r>
  <r>
    <x v="843"/>
    <n v="43"/>
    <n v="39.39"/>
    <n v="167.96"/>
  </r>
  <r>
    <x v="844"/>
    <n v="45"/>
    <n v="46.43"/>
    <n v="186.18"/>
  </r>
  <r>
    <x v="845"/>
    <n v="48"/>
    <n v="50.31"/>
    <n v="207.01"/>
  </r>
  <r>
    <x v="846"/>
    <n v="41"/>
    <n v="43.22"/>
    <n v="205.89"/>
  </r>
  <r>
    <x v="847"/>
    <n v="42"/>
    <n v="38.11"/>
    <n v="217.58"/>
  </r>
  <r>
    <x v="848"/>
    <n v="42"/>
    <n v="40.64"/>
    <n v="200.52"/>
  </r>
  <r>
    <x v="849"/>
    <n v="44"/>
    <n v="37.090000000000003"/>
    <n v="185.83"/>
  </r>
  <r>
    <x v="850"/>
    <n v="45"/>
    <n v="45.44"/>
    <n v="182.12"/>
  </r>
  <r>
    <x v="851"/>
    <n v="44"/>
    <n v="50.13"/>
    <n v="138.88999999999999"/>
  </r>
  <r>
    <x v="852"/>
    <n v="42"/>
    <n v="43.06"/>
    <n v="151.26"/>
  </r>
  <r>
    <x v="853"/>
    <n v="50"/>
    <n v="46.77"/>
    <n v="202.53"/>
  </r>
  <r>
    <x v="854"/>
    <n v="44"/>
    <n v="37.56"/>
    <n v="177.08"/>
  </r>
  <r>
    <x v="855"/>
    <n v="49"/>
    <n v="52.34"/>
    <n v="178.5"/>
  </r>
  <r>
    <x v="856"/>
    <n v="48"/>
    <n v="51.57"/>
    <n v="231.25"/>
  </r>
  <r>
    <x v="857"/>
    <n v="47"/>
    <n v="49.75"/>
    <n v="211.61"/>
  </r>
  <r>
    <x v="858"/>
    <n v="42"/>
    <n v="36.49"/>
    <n v="135.22999999999999"/>
  </r>
  <r>
    <x v="859"/>
    <n v="46"/>
    <n v="35.76"/>
    <n v="138.65"/>
  </r>
  <r>
    <x v="860"/>
    <n v="47"/>
    <n v="53.33"/>
    <n v="165.73"/>
  </r>
  <r>
    <x v="861"/>
    <n v="42"/>
    <n v="39.99"/>
    <n v="171.81"/>
  </r>
  <r>
    <x v="862"/>
    <n v="43"/>
    <n v="41.31"/>
    <n v="180.47"/>
  </r>
  <r>
    <x v="863"/>
    <n v="45"/>
    <n v="42.22"/>
    <n v="216.76"/>
  </r>
  <r>
    <x v="864"/>
    <n v="48"/>
    <n v="39.799999999999997"/>
    <n v="224.94"/>
  </r>
  <r>
    <x v="865"/>
    <n v="49"/>
    <n v="38.159999999999997"/>
    <n v="189.82"/>
  </r>
  <r>
    <x v="866"/>
    <n v="42"/>
    <n v="42.24"/>
    <n v="216.61"/>
  </r>
  <r>
    <x v="867"/>
    <n v="46"/>
    <n v="45.61"/>
    <n v="225.26"/>
  </r>
  <r>
    <x v="868"/>
    <n v="42"/>
    <n v="41.79"/>
    <n v="228.39"/>
  </r>
  <r>
    <x v="869"/>
    <n v="41"/>
    <n v="52.88"/>
    <n v="194.12"/>
  </r>
  <r>
    <x v="870"/>
    <n v="44"/>
    <n v="49.32"/>
    <n v="223.17"/>
  </r>
  <r>
    <x v="871"/>
    <n v="43"/>
    <n v="36.46"/>
    <n v="186.19"/>
  </r>
  <r>
    <x v="872"/>
    <n v="51"/>
    <n v="36.82"/>
    <n v="178.15"/>
  </r>
  <r>
    <x v="873"/>
    <n v="46"/>
    <n v="51.45"/>
    <n v="230.27"/>
  </r>
  <r>
    <x v="874"/>
    <n v="46"/>
    <n v="41.34"/>
    <n v="212.68"/>
  </r>
  <r>
    <x v="875"/>
    <n v="51"/>
    <n v="46.89"/>
    <n v="142.91"/>
  </r>
  <r>
    <x v="876"/>
    <n v="47"/>
    <n v="35.9"/>
    <n v="155.78"/>
  </r>
  <r>
    <x v="877"/>
    <n v="47"/>
    <n v="37.299999999999997"/>
    <n v="147.79"/>
  </r>
  <r>
    <x v="878"/>
    <n v="43"/>
    <n v="46.42"/>
    <n v="204.37"/>
  </r>
  <r>
    <x v="879"/>
    <n v="50"/>
    <n v="35.5"/>
    <n v="191.27"/>
  </r>
  <r>
    <x v="880"/>
    <n v="45"/>
    <n v="40.659999999999997"/>
    <n v="232.96"/>
  </r>
  <r>
    <x v="881"/>
    <n v="45"/>
    <n v="53.3"/>
    <n v="200.21"/>
  </r>
  <r>
    <x v="882"/>
    <n v="44"/>
    <n v="35.659999999999997"/>
    <n v="192.48"/>
  </r>
  <r>
    <x v="883"/>
    <n v="52"/>
    <n v="35.75"/>
    <n v="216.03"/>
  </r>
  <r>
    <x v="884"/>
    <n v="42"/>
    <n v="34.47"/>
    <n v="180.88"/>
  </r>
  <r>
    <x v="885"/>
    <n v="49"/>
    <n v="35.090000000000003"/>
    <n v="229.28"/>
  </r>
  <r>
    <x v="886"/>
    <n v="47"/>
    <n v="33.51"/>
    <n v="230.22"/>
  </r>
  <r>
    <x v="887"/>
    <n v="42"/>
    <n v="39.880000000000003"/>
    <n v="198.43"/>
  </r>
  <r>
    <x v="888"/>
    <n v="47"/>
    <n v="40.07"/>
    <n v="171.69"/>
  </r>
  <r>
    <x v="889"/>
    <n v="45"/>
    <n v="38.21"/>
    <n v="167.73"/>
  </r>
  <r>
    <x v="890"/>
    <n v="49"/>
    <n v="39.340000000000003"/>
    <n v="200"/>
  </r>
  <r>
    <x v="891"/>
    <n v="45"/>
    <n v="46.62"/>
    <n v="203.4"/>
  </r>
  <r>
    <x v="892"/>
    <n v="46"/>
    <n v="47.57"/>
    <n v="163.93"/>
  </r>
  <r>
    <x v="893"/>
    <n v="45"/>
    <n v="43.51"/>
    <n v="217.14"/>
  </r>
  <r>
    <x v="894"/>
    <n v="49"/>
    <n v="38.32"/>
    <n v="149.77000000000001"/>
  </r>
  <r>
    <x v="895"/>
    <n v="44"/>
    <n v="37.340000000000003"/>
    <n v="153.1"/>
  </r>
  <r>
    <x v="896"/>
    <n v="47"/>
    <n v="47.47"/>
    <n v="154.32"/>
  </r>
  <r>
    <x v="897"/>
    <n v="46"/>
    <n v="45.21"/>
    <n v="232.54"/>
  </r>
  <r>
    <x v="898"/>
    <n v="44"/>
    <n v="35.75"/>
    <n v="216.42"/>
  </r>
  <r>
    <x v="899"/>
    <n v="42"/>
    <n v="40.29"/>
    <n v="182.67"/>
  </r>
  <r>
    <x v="900"/>
    <n v="41"/>
    <n v="38.21"/>
    <n v="194.59"/>
  </r>
  <r>
    <x v="901"/>
    <n v="46"/>
    <n v="43.8"/>
    <n v="206.54"/>
  </r>
  <r>
    <x v="902"/>
    <n v="45"/>
    <n v="49.48"/>
    <n v="150.01"/>
  </r>
  <r>
    <x v="903"/>
    <n v="49"/>
    <n v="37.15"/>
    <n v="193.53"/>
  </r>
  <r>
    <x v="904"/>
    <n v="44"/>
    <n v="37.369999999999997"/>
    <n v="218.91"/>
  </r>
  <r>
    <x v="905"/>
    <n v="49"/>
    <n v="38.270000000000003"/>
    <n v="161.52000000000001"/>
  </r>
  <r>
    <x v="906"/>
    <n v="52"/>
    <n v="36.119999999999997"/>
    <n v="174.82"/>
  </r>
  <r>
    <x v="907"/>
    <n v="47"/>
    <n v="34.450000000000003"/>
    <n v="143.03"/>
  </r>
  <r>
    <x v="908"/>
    <n v="50"/>
    <n v="39.36"/>
    <n v="141.34"/>
  </r>
  <r>
    <x v="909"/>
    <n v="44"/>
    <n v="39.86"/>
    <n v="137.91999999999999"/>
  </r>
  <r>
    <x v="910"/>
    <n v="50"/>
    <n v="53.13"/>
    <n v="172.56"/>
  </r>
  <r>
    <x v="911"/>
    <n v="45"/>
    <n v="48.84"/>
    <n v="191.31"/>
  </r>
  <r>
    <x v="912"/>
    <n v="43"/>
    <n v="40.549999999999997"/>
    <n v="154.53"/>
  </r>
  <r>
    <x v="913"/>
    <n v="43"/>
    <n v="43.75"/>
    <n v="221.2"/>
  </r>
  <r>
    <x v="914"/>
    <n v="51"/>
    <n v="39.979999999999997"/>
    <n v="153.94999999999999"/>
  </r>
  <r>
    <x v="915"/>
    <n v="50"/>
    <n v="45.34"/>
    <n v="232.57"/>
  </r>
  <r>
    <x v="916"/>
    <n v="51"/>
    <n v="47.76"/>
    <n v="190.86"/>
  </r>
  <r>
    <x v="917"/>
    <n v="51"/>
    <n v="41.14"/>
    <n v="215.13"/>
  </r>
  <r>
    <x v="918"/>
    <n v="51"/>
    <n v="49.19"/>
    <n v="219.66"/>
  </r>
  <r>
    <x v="919"/>
    <n v="48"/>
    <n v="48.71"/>
    <n v="192.5"/>
  </r>
  <r>
    <x v="920"/>
    <n v="49"/>
    <n v="36.79"/>
    <n v="194.06"/>
  </r>
  <r>
    <x v="921"/>
    <n v="46"/>
    <n v="51.72"/>
    <n v="184.52"/>
  </r>
  <r>
    <x v="922"/>
    <n v="44"/>
    <n v="51.06"/>
    <n v="167.17"/>
  </r>
  <r>
    <x v="923"/>
    <n v="46"/>
    <n v="39.07"/>
    <n v="219.18"/>
  </r>
  <r>
    <x v="924"/>
    <n v="51"/>
    <n v="47.7"/>
    <n v="224.11"/>
  </r>
  <r>
    <x v="925"/>
    <n v="54"/>
    <n v="49.87"/>
    <n v="168.28"/>
  </r>
  <r>
    <x v="926"/>
    <n v="43"/>
    <n v="47.41"/>
    <n v="145.96"/>
  </r>
  <r>
    <x v="927"/>
    <n v="49"/>
    <n v="40.950000000000003"/>
    <n v="224.85"/>
  </r>
  <r>
    <x v="928"/>
    <n v="54"/>
    <n v="33.270000000000003"/>
    <n v="210"/>
  </r>
  <r>
    <x v="929"/>
    <n v="51"/>
    <n v="52.15"/>
    <n v="144.31"/>
  </r>
  <r>
    <x v="930"/>
    <n v="50"/>
    <n v="35.1"/>
    <n v="158.57"/>
  </r>
  <r>
    <x v="931"/>
    <n v="47"/>
    <n v="40.82"/>
    <n v="139.69"/>
  </r>
  <r>
    <x v="932"/>
    <n v="44"/>
    <n v="34.44"/>
    <n v="173.85"/>
  </r>
  <r>
    <x v="933"/>
    <n v="47"/>
    <n v="41.42"/>
    <n v="203.84"/>
  </r>
  <r>
    <x v="934"/>
    <n v="52"/>
    <n v="50.09"/>
    <n v="193.86"/>
  </r>
  <r>
    <x v="935"/>
    <n v="48"/>
    <n v="40.26"/>
    <n v="185.81"/>
  </r>
  <r>
    <x v="936"/>
    <n v="47"/>
    <n v="44.96"/>
    <n v="230.38"/>
  </r>
  <r>
    <x v="937"/>
    <n v="53"/>
    <n v="47.51"/>
    <n v="216.72"/>
  </r>
  <r>
    <x v="938"/>
    <n v="46"/>
    <n v="47.95"/>
    <n v="161.28"/>
  </r>
  <r>
    <x v="939"/>
    <n v="43"/>
    <n v="47.51"/>
    <n v="172.23"/>
  </r>
  <r>
    <x v="940"/>
    <n v="46"/>
    <n v="34.729999999999997"/>
    <n v="197.78"/>
  </r>
  <r>
    <x v="941"/>
    <n v="48"/>
    <n v="46.3"/>
    <n v="205.12"/>
  </r>
  <r>
    <x v="942"/>
    <n v="51"/>
    <n v="46.09"/>
    <n v="160.56"/>
  </r>
  <r>
    <x v="943"/>
    <n v="49"/>
    <n v="33.9"/>
    <n v="166.79"/>
  </r>
  <r>
    <x v="944"/>
    <n v="54"/>
    <n v="51.47"/>
    <n v="195.43"/>
  </r>
  <r>
    <x v="945"/>
    <n v="49"/>
    <n v="49.75"/>
    <n v="189.14"/>
  </r>
  <r>
    <x v="946"/>
    <n v="55"/>
    <n v="52.66"/>
    <n v="141.97"/>
  </r>
  <r>
    <x v="947"/>
    <n v="50"/>
    <n v="33.200000000000003"/>
    <n v="155.38999999999999"/>
  </r>
  <r>
    <x v="948"/>
    <n v="52"/>
    <n v="42.8"/>
    <n v="234.44"/>
  </r>
  <r>
    <x v="949"/>
    <n v="51"/>
    <n v="38.01"/>
    <n v="188.79"/>
  </r>
  <r>
    <x v="950"/>
    <n v="50"/>
    <n v="44.46"/>
    <n v="201.51"/>
  </r>
  <r>
    <x v="951"/>
    <n v="49"/>
    <n v="33.85"/>
    <n v="200.16"/>
  </r>
  <r>
    <x v="952"/>
    <n v="49"/>
    <n v="40.53"/>
    <n v="233.72"/>
  </r>
  <r>
    <x v="953"/>
    <n v="54"/>
    <n v="44.82"/>
    <n v="155.5"/>
  </r>
  <r>
    <x v="954"/>
    <n v="54"/>
    <n v="34.68"/>
    <n v="148.13999999999999"/>
  </r>
  <r>
    <x v="955"/>
    <n v="50"/>
    <n v="49.93"/>
    <n v="139.27000000000001"/>
  </r>
  <r>
    <x v="956"/>
    <n v="52"/>
    <n v="37.25"/>
    <n v="231.33"/>
  </r>
  <r>
    <x v="957"/>
    <n v="52"/>
    <n v="47.27"/>
    <n v="140.62"/>
  </r>
  <r>
    <x v="958"/>
    <n v="48"/>
    <n v="43.06"/>
    <n v="137.77000000000001"/>
  </r>
  <r>
    <x v="959"/>
    <n v="50"/>
    <n v="48.95"/>
    <n v="191.47"/>
  </r>
  <r>
    <x v="960"/>
    <n v="51"/>
    <n v="45.12"/>
    <n v="139.02000000000001"/>
  </r>
  <r>
    <x v="961"/>
    <n v="52"/>
    <n v="49.81"/>
    <n v="140.94"/>
  </r>
  <r>
    <x v="962"/>
    <n v="47"/>
    <n v="33.369999999999997"/>
    <n v="160.81"/>
  </r>
  <r>
    <x v="963"/>
    <n v="45"/>
    <n v="49.34"/>
    <n v="150.38999999999999"/>
  </r>
  <r>
    <x v="964"/>
    <n v="44"/>
    <n v="44.9"/>
    <n v="200.58"/>
  </r>
  <r>
    <x v="965"/>
    <n v="46"/>
    <n v="37.9"/>
    <n v="216.25"/>
  </r>
  <r>
    <x v="966"/>
    <n v="48"/>
    <n v="42.44"/>
    <n v="198.05"/>
  </r>
  <r>
    <x v="967"/>
    <n v="47"/>
    <n v="42.37"/>
    <n v="148.43"/>
  </r>
  <r>
    <x v="968"/>
    <n v="50"/>
    <n v="41.17"/>
    <n v="153.07"/>
  </r>
  <r>
    <x v="969"/>
    <n v="48"/>
    <n v="32.92"/>
    <n v="158.77000000000001"/>
  </r>
  <r>
    <x v="970"/>
    <n v="50"/>
    <n v="41.4"/>
    <n v="162.96"/>
  </r>
  <r>
    <x v="971"/>
    <n v="51"/>
    <n v="34.54"/>
    <n v="181.63"/>
  </r>
  <r>
    <x v="972"/>
    <n v="55"/>
    <n v="32.67"/>
    <n v="159.61000000000001"/>
  </r>
  <r>
    <x v="973"/>
    <n v="50"/>
    <n v="47.69"/>
    <n v="208.14"/>
  </r>
  <r>
    <x v="974"/>
    <n v="54"/>
    <n v="42.91"/>
    <n v="147.49"/>
  </r>
  <r>
    <x v="975"/>
    <n v="52"/>
    <n v="37.22"/>
    <n v="202.9"/>
  </r>
  <r>
    <x v="976"/>
    <n v="49"/>
    <n v="47.9"/>
    <n v="170.4"/>
  </r>
  <r>
    <x v="977"/>
    <n v="54"/>
    <n v="33.42"/>
    <n v="224.86"/>
  </r>
  <r>
    <x v="978"/>
    <n v="51"/>
    <n v="33.24"/>
    <n v="227.02"/>
  </r>
  <r>
    <x v="979"/>
    <n v="45"/>
    <n v="40.270000000000003"/>
    <n v="191.75"/>
  </r>
  <r>
    <x v="980"/>
    <n v="48"/>
    <n v="51"/>
    <n v="234.3"/>
  </r>
  <r>
    <x v="981"/>
    <n v="54"/>
    <n v="35.869999999999997"/>
    <n v="220.82"/>
  </r>
  <r>
    <x v="982"/>
    <n v="53"/>
    <n v="38.44"/>
    <n v="176.27"/>
  </r>
  <r>
    <x v="983"/>
    <n v="48"/>
    <n v="34.65"/>
    <n v="223.11"/>
  </r>
  <r>
    <x v="984"/>
    <n v="50"/>
    <n v="47.55"/>
    <n v="234.64"/>
  </r>
  <r>
    <x v="985"/>
    <n v="50"/>
    <n v="37.58"/>
    <n v="147.76"/>
  </r>
  <r>
    <x v="986"/>
    <n v="54"/>
    <n v="41.27"/>
    <n v="175.87"/>
  </r>
  <r>
    <x v="987"/>
    <n v="47"/>
    <n v="41.06"/>
    <n v="210.48"/>
  </r>
  <r>
    <x v="988"/>
    <n v="46"/>
    <n v="48.82"/>
    <n v="153.5"/>
  </r>
  <r>
    <x v="989"/>
    <n v="51"/>
    <n v="37.32"/>
    <n v="146.80000000000001"/>
  </r>
  <r>
    <x v="990"/>
    <n v="56"/>
    <n v="41.51"/>
    <n v="160.18"/>
  </r>
  <r>
    <x v="991"/>
    <n v="50"/>
    <n v="48.74"/>
    <n v="142.61000000000001"/>
  </r>
  <r>
    <x v="992"/>
    <n v="53"/>
    <n v="50.61"/>
    <n v="205.62"/>
  </r>
  <r>
    <x v="993"/>
    <n v="45"/>
    <n v="40.46"/>
    <n v="135.87"/>
  </r>
  <r>
    <x v="994"/>
    <n v="56"/>
    <n v="41.14"/>
    <n v="181.62"/>
  </r>
  <r>
    <x v="995"/>
    <n v="45"/>
    <n v="50.37"/>
    <n v="209.72"/>
  </r>
  <r>
    <x v="996"/>
    <n v="53"/>
    <n v="47.31"/>
    <n v="205.06"/>
  </r>
  <r>
    <x v="997"/>
    <n v="56"/>
    <n v="49.84"/>
    <n v="164.67"/>
  </r>
  <r>
    <x v="998"/>
    <n v="48"/>
    <n v="47.67"/>
    <n v="139.51"/>
  </r>
  <r>
    <x v="999"/>
    <n v="46"/>
    <n v="51.87"/>
    <n v="153.94"/>
  </r>
  <r>
    <x v="1000"/>
    <n v="54"/>
    <n v="39.479999999999997"/>
    <n v="161.52000000000001"/>
  </r>
  <r>
    <x v="1001"/>
    <n v="46"/>
    <n v="47.63"/>
    <n v="226.72"/>
  </r>
  <r>
    <x v="1002"/>
    <n v="54"/>
    <n v="38.71"/>
    <n v="148.4"/>
  </r>
  <r>
    <x v="1003"/>
    <n v="50"/>
    <n v="47.56"/>
    <n v="206.47"/>
  </r>
  <r>
    <x v="1004"/>
    <n v="54"/>
    <n v="34.880000000000003"/>
    <n v="176.2"/>
  </r>
  <r>
    <x v="1005"/>
    <n v="45"/>
    <n v="44.14"/>
    <n v="166.55"/>
  </r>
  <r>
    <x v="1006"/>
    <n v="46"/>
    <n v="44.38"/>
    <n v="214.17"/>
  </r>
  <r>
    <x v="1007"/>
    <n v="52"/>
    <n v="38.770000000000003"/>
    <n v="220.99"/>
  </r>
  <r>
    <x v="1008"/>
    <n v="52"/>
    <n v="50.47"/>
    <n v="233.12"/>
  </r>
  <r>
    <x v="1009"/>
    <n v="51"/>
    <n v="49.67"/>
    <n v="179.13"/>
  </r>
  <r>
    <x v="1010"/>
    <n v="48"/>
    <n v="51.36"/>
    <n v="187.43"/>
  </r>
  <r>
    <x v="1011"/>
    <n v="54"/>
    <n v="32.840000000000003"/>
    <n v="229.24"/>
  </r>
  <r>
    <x v="1012"/>
    <n v="51"/>
    <n v="42.77"/>
    <n v="152.15"/>
  </r>
  <r>
    <x v="1013"/>
    <n v="55"/>
    <n v="51.88"/>
    <n v="175.45"/>
  </r>
  <r>
    <x v="1014"/>
    <n v="51"/>
    <n v="37.17"/>
    <n v="200.26"/>
  </r>
  <r>
    <x v="1015"/>
    <n v="52"/>
    <n v="37.659999999999997"/>
    <n v="146.31"/>
  </r>
  <r>
    <x v="1016"/>
    <n v="49"/>
    <n v="46.25"/>
    <n v="204.02"/>
  </r>
  <r>
    <x v="1017"/>
    <n v="50"/>
    <n v="32.770000000000003"/>
    <n v="155.51"/>
  </r>
  <r>
    <x v="1018"/>
    <n v="49"/>
    <n v="40.950000000000003"/>
    <n v="208.82"/>
  </r>
  <r>
    <x v="1019"/>
    <n v="50"/>
    <n v="36.64"/>
    <n v="189.45"/>
  </r>
  <r>
    <x v="1020"/>
    <n v="47"/>
    <n v="47.49"/>
    <n v="142.52000000000001"/>
  </r>
  <r>
    <x v="1021"/>
    <n v="49"/>
    <n v="40.5"/>
    <n v="140.41"/>
  </r>
  <r>
    <x v="1022"/>
    <n v="55"/>
    <n v="40.380000000000003"/>
    <n v="171.07"/>
  </r>
  <r>
    <x v="1023"/>
    <n v="55"/>
    <n v="37.79"/>
    <n v="184.59"/>
  </r>
  <r>
    <x v="1024"/>
    <n v="51"/>
    <n v="37.92"/>
    <n v="185.82"/>
  </r>
  <r>
    <x v="1025"/>
    <n v="51"/>
    <n v="36.619999999999997"/>
    <n v="160.32"/>
  </r>
  <r>
    <x v="1026"/>
    <n v="57"/>
    <n v="42.72"/>
    <n v="135.27000000000001"/>
  </r>
  <r>
    <x v="1027"/>
    <n v="52"/>
    <n v="46.2"/>
    <n v="180.77"/>
  </r>
  <r>
    <x v="1028"/>
    <n v="51"/>
    <n v="36.43"/>
    <n v="216.29"/>
  </r>
  <r>
    <x v="1029"/>
    <n v="48"/>
    <n v="35.229999999999997"/>
    <n v="226.18"/>
  </r>
  <r>
    <x v="1030"/>
    <n v="51"/>
    <n v="48.89"/>
    <n v="176.85"/>
  </r>
  <r>
    <x v="1031"/>
    <n v="53"/>
    <n v="46.55"/>
    <n v="140.94"/>
  </r>
  <r>
    <x v="1032"/>
    <n v="56"/>
    <n v="32.979999999999997"/>
    <n v="199.19"/>
  </r>
  <r>
    <x v="1033"/>
    <n v="50"/>
    <n v="42.29"/>
    <n v="154.31"/>
  </r>
  <r>
    <x v="1034"/>
    <n v="49"/>
    <n v="49.54"/>
    <n v="193.16"/>
  </r>
  <r>
    <x v="1035"/>
    <n v="56"/>
    <n v="36.21"/>
    <n v="225.46"/>
  </r>
  <r>
    <x v="1036"/>
    <n v="48"/>
    <n v="41.88"/>
    <n v="155.27000000000001"/>
  </r>
  <r>
    <x v="1037"/>
    <n v="47"/>
    <n v="37.92"/>
    <n v="227.48"/>
  </r>
  <r>
    <x v="1038"/>
    <n v="52"/>
    <n v="43.17"/>
    <n v="222.74"/>
  </r>
  <r>
    <x v="1039"/>
    <n v="52"/>
    <n v="40.270000000000003"/>
    <n v="173.45"/>
  </r>
  <r>
    <x v="1040"/>
    <n v="55"/>
    <n v="51.66"/>
    <n v="175.89"/>
  </r>
  <r>
    <x v="1041"/>
    <n v="55"/>
    <n v="45.58"/>
    <n v="136.56"/>
  </r>
  <r>
    <x v="1042"/>
    <n v="52"/>
    <n v="37.11"/>
    <n v="229.66"/>
  </r>
  <r>
    <x v="1043"/>
    <n v="50"/>
    <n v="36.619999999999997"/>
    <n v="150.28"/>
  </r>
  <r>
    <x v="1044"/>
    <n v="56"/>
    <n v="45.95"/>
    <n v="199.06"/>
  </r>
  <r>
    <x v="1045"/>
    <n v="54"/>
    <n v="33.93"/>
    <n v="151.04"/>
  </r>
  <r>
    <x v="1046"/>
    <n v="50"/>
    <n v="42.92"/>
    <n v="137.47"/>
  </r>
  <r>
    <x v="1047"/>
    <n v="50"/>
    <n v="45.39"/>
    <n v="156.47999999999999"/>
  </r>
  <r>
    <x v="1048"/>
    <n v="50"/>
    <n v="40.76"/>
    <n v="153.71"/>
  </r>
  <r>
    <x v="1049"/>
    <n v="53"/>
    <n v="35.479999999999997"/>
    <n v="175.06"/>
  </r>
  <r>
    <x v="1050"/>
    <n v="48"/>
    <n v="32.700000000000003"/>
    <n v="158.16"/>
  </r>
  <r>
    <x v="1051"/>
    <n v="56"/>
    <n v="38.76"/>
    <n v="145.32"/>
  </r>
  <r>
    <x v="1052"/>
    <n v="53"/>
    <n v="35.65"/>
    <n v="194"/>
  </r>
  <r>
    <x v="1053"/>
    <n v="53"/>
    <n v="42.62"/>
    <n v="221.14"/>
  </r>
  <r>
    <x v="1054"/>
    <n v="53"/>
    <n v="48.27"/>
    <n v="172.67"/>
  </r>
  <r>
    <x v="1055"/>
    <n v="58"/>
    <n v="43.04"/>
    <n v="226.01"/>
  </r>
  <r>
    <x v="1056"/>
    <n v="54"/>
    <n v="50.89"/>
    <n v="206.89"/>
  </r>
  <r>
    <x v="1057"/>
    <n v="50"/>
    <n v="40.08"/>
    <n v="211.36"/>
  </r>
  <r>
    <x v="1058"/>
    <n v="49"/>
    <n v="34.22"/>
    <n v="143.82"/>
  </r>
  <r>
    <x v="1059"/>
    <n v="51"/>
    <n v="32.56"/>
    <n v="178.89"/>
  </r>
  <r>
    <x v="1060"/>
    <n v="54"/>
    <n v="46.04"/>
    <n v="149.57"/>
  </r>
  <r>
    <x v="1061"/>
    <n v="53"/>
    <n v="41.34"/>
    <n v="203.74"/>
  </r>
  <r>
    <x v="1062"/>
    <n v="56"/>
    <n v="32.06"/>
    <n v="161.19999999999999"/>
  </r>
  <r>
    <x v="1063"/>
    <n v="53"/>
    <n v="48.67"/>
    <n v="185.19"/>
  </r>
  <r>
    <x v="1064"/>
    <n v="56"/>
    <n v="42.89"/>
    <n v="170.24"/>
  </r>
  <r>
    <x v="1065"/>
    <n v="52"/>
    <n v="44.47"/>
    <n v="196.97"/>
  </r>
  <r>
    <x v="1066"/>
    <n v="55"/>
    <n v="40.56"/>
    <n v="225.43"/>
  </r>
  <r>
    <x v="1067"/>
    <n v="49"/>
    <n v="37.33"/>
    <n v="152.04"/>
  </r>
  <r>
    <x v="1068"/>
    <n v="53"/>
    <n v="45.37"/>
    <n v="173.84"/>
  </r>
  <r>
    <x v="1069"/>
    <n v="48"/>
    <n v="46.77"/>
    <n v="200.1"/>
  </r>
  <r>
    <x v="1070"/>
    <n v="54"/>
    <n v="46.61"/>
    <n v="182.25"/>
  </r>
  <r>
    <x v="1071"/>
    <n v="55"/>
    <n v="42.99"/>
    <n v="168.08"/>
  </r>
  <r>
    <x v="1072"/>
    <n v="56"/>
    <n v="38.630000000000003"/>
    <n v="176.27"/>
  </r>
  <r>
    <x v="1073"/>
    <n v="49"/>
    <n v="48.19"/>
    <n v="191.79"/>
  </r>
  <r>
    <x v="1074"/>
    <n v="59"/>
    <n v="48.36"/>
    <n v="164.38"/>
  </r>
  <r>
    <x v="1075"/>
    <n v="56"/>
    <n v="36.94"/>
    <n v="200.14"/>
  </r>
  <r>
    <x v="1076"/>
    <n v="48"/>
    <n v="47.25"/>
    <n v="213.24"/>
  </r>
  <r>
    <x v="1077"/>
    <n v="57"/>
    <n v="34.86"/>
    <n v="229.57"/>
  </r>
  <r>
    <x v="1078"/>
    <n v="51"/>
    <n v="50.1"/>
    <n v="152.09"/>
  </r>
  <r>
    <x v="1079"/>
    <n v="49"/>
    <n v="44.53"/>
    <n v="213.33"/>
  </r>
  <r>
    <x v="1080"/>
    <n v="53"/>
    <n v="35.75"/>
    <n v="207.49"/>
  </r>
  <r>
    <x v="1081"/>
    <n v="59"/>
    <n v="33.89"/>
    <n v="153.03"/>
  </r>
  <r>
    <x v="1082"/>
    <n v="49"/>
    <n v="48.72"/>
    <n v="209.03"/>
  </r>
  <r>
    <x v="1083"/>
    <n v="49"/>
    <n v="40.6"/>
    <n v="166.44"/>
  </r>
  <r>
    <x v="1084"/>
    <n v="55"/>
    <n v="35.08"/>
    <n v="165.27"/>
  </r>
  <r>
    <x v="1085"/>
    <n v="53"/>
    <n v="47.45"/>
    <n v="217.52"/>
  </r>
  <r>
    <x v="1086"/>
    <n v="60"/>
    <n v="40.56"/>
    <n v="143.41"/>
  </r>
  <r>
    <x v="1087"/>
    <n v="53"/>
    <n v="47.5"/>
    <n v="187.09"/>
  </r>
  <r>
    <x v="1088"/>
    <n v="58"/>
    <n v="43.08"/>
    <n v="153.55000000000001"/>
  </r>
  <r>
    <x v="1089"/>
    <n v="53"/>
    <n v="37.020000000000003"/>
    <n v="204.85"/>
  </r>
  <r>
    <x v="1090"/>
    <n v="54"/>
    <n v="36.67"/>
    <n v="172.61"/>
  </r>
  <r>
    <x v="1091"/>
    <n v="59"/>
    <n v="32.270000000000003"/>
    <n v="194.23"/>
  </r>
  <r>
    <x v="1092"/>
    <n v="53"/>
    <n v="46.6"/>
    <n v="194"/>
  </r>
  <r>
    <x v="1093"/>
    <n v="54"/>
    <n v="37.340000000000003"/>
    <n v="170.52"/>
  </r>
  <r>
    <x v="1094"/>
    <n v="51"/>
    <n v="39.869999999999997"/>
    <n v="160.51"/>
  </r>
  <r>
    <x v="1095"/>
    <n v="58"/>
    <n v="39.17"/>
    <n v="173.37"/>
  </r>
  <r>
    <x v="1096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FCE23C-2AEB-43B8-A2A1-03D86BEC5DE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1">
  <location ref="A3:B8" firstHeaderRow="1" firstDataRow="1" firstDataCol="1"/>
  <pivotFields count="7">
    <pivotField axis="axisRow" showAll="0">
      <items count="109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t="default"/>
      </items>
    </pivotField>
    <pivotField dataField="1"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4">
    <field x="6"/>
    <field x="5"/>
    <field x="4"/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" baseField="6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12F568-2B1D-4FBB-B634-1A8CD7C91D92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1">
  <location ref="A3:B8" firstHeaderRow="1" firstDataRow="1" firstDataCol="1"/>
  <pivotFields count="7">
    <pivotField axis="axisRow" showAll="0">
      <items count="109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t="default"/>
      </items>
    </pivotField>
    <pivotField showAll="0"/>
    <pivotField showAll="0"/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4">
    <field x="6"/>
    <field x="5"/>
    <field x="4"/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fixed_order_cost" fld="3" subtotal="average" baseField="6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6D78B1-83DD-413C-8299-68A9D9DA2096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1">
  <location ref="A3:B8" firstHeaderRow="1" firstDataRow="1" firstDataCol="1"/>
  <pivotFields count="7">
    <pivotField axis="axisRow" showAll="0">
      <items count="109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t="default"/>
      </items>
    </pivotField>
    <pivotField showAll="0"/>
    <pivotField dataField="1"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4">
    <field x="6"/>
    <field x="5"/>
    <field x="4"/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unit_purchase_cost" fld="2" subtotal="average" baseField="6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7F694-41E8-4073-A89A-E167E9435158}">
  <dimension ref="A4:C20"/>
  <sheetViews>
    <sheetView topLeftCell="A2" zoomScale="90" zoomScaleNormal="90" workbookViewId="0">
      <selection activeCell="C18" sqref="C18"/>
    </sheetView>
  </sheetViews>
  <sheetFormatPr defaultRowHeight="14.5" x14ac:dyDescent="0.35"/>
  <cols>
    <col min="2" max="2" width="16.7265625" bestFit="1" customWidth="1"/>
    <col min="3" max="3" width="11.1796875" bestFit="1" customWidth="1"/>
  </cols>
  <sheetData>
    <row r="4" spans="1:3" x14ac:dyDescent="0.35">
      <c r="A4" t="s">
        <v>34</v>
      </c>
      <c r="B4" t="s">
        <v>6</v>
      </c>
      <c r="C4">
        <v>17365</v>
      </c>
    </row>
    <row r="5" spans="1:3" x14ac:dyDescent="0.35">
      <c r="A5" t="s">
        <v>35</v>
      </c>
      <c r="B5" t="s">
        <v>7</v>
      </c>
      <c r="C5" s="5">
        <v>43</v>
      </c>
    </row>
    <row r="6" spans="1:3" x14ac:dyDescent="0.35">
      <c r="A6" t="s">
        <v>36</v>
      </c>
      <c r="B6" t="s">
        <v>8</v>
      </c>
      <c r="C6" s="5">
        <v>183</v>
      </c>
    </row>
    <row r="7" spans="1:3" x14ac:dyDescent="0.35">
      <c r="C7" s="5"/>
    </row>
    <row r="8" spans="1:3" x14ac:dyDescent="0.35">
      <c r="A8" t="s">
        <v>30</v>
      </c>
      <c r="B8" t="s">
        <v>28</v>
      </c>
      <c r="C8" s="5">
        <v>20</v>
      </c>
    </row>
    <row r="9" spans="1:3" x14ac:dyDescent="0.35">
      <c r="A9" t="s">
        <v>32</v>
      </c>
      <c r="B9" t="s">
        <v>29</v>
      </c>
      <c r="C9" s="11">
        <v>478.29865296984258</v>
      </c>
    </row>
    <row r="10" spans="1:3" x14ac:dyDescent="0.35">
      <c r="A10" t="s">
        <v>31</v>
      </c>
      <c r="B10" t="s">
        <v>33</v>
      </c>
      <c r="C10" s="10">
        <f>C13</f>
        <v>571.31715877971851</v>
      </c>
    </row>
    <row r="11" spans="1:3" x14ac:dyDescent="0.35">
      <c r="A11" t="s">
        <v>37</v>
      </c>
      <c r="B11" t="s">
        <v>9</v>
      </c>
      <c r="C11" s="6">
        <f>18%</f>
        <v>0.18</v>
      </c>
    </row>
    <row r="13" spans="1:3" x14ac:dyDescent="0.35">
      <c r="B13" t="s">
        <v>10</v>
      </c>
      <c r="C13" s="11">
        <v>571.31715877971851</v>
      </c>
    </row>
    <row r="15" spans="1:3" x14ac:dyDescent="0.35">
      <c r="B15" t="s">
        <v>39</v>
      </c>
      <c r="C15" s="7">
        <f>C9^2/(2*C13)*C8</f>
        <v>4004.2487420016751</v>
      </c>
    </row>
    <row r="16" spans="1:3" x14ac:dyDescent="0.35">
      <c r="B16" t="s">
        <v>12</v>
      </c>
      <c r="C16" s="7">
        <f>C4/C13*C6</f>
        <v>5562.2257290284806</v>
      </c>
    </row>
    <row r="17" spans="2:3" x14ac:dyDescent="0.35">
      <c r="B17" t="s">
        <v>13</v>
      </c>
      <c r="C17" s="7">
        <f>(C13-C9)^2/(2*C5)*C11*C5</f>
        <v>778.71981807917302</v>
      </c>
    </row>
    <row r="18" spans="2:3" x14ac:dyDescent="0.35">
      <c r="B18" t="s">
        <v>14</v>
      </c>
      <c r="C18" s="8">
        <f>SUM(C15:C17)+(C4*C5)</f>
        <v>757040.19428910932</v>
      </c>
    </row>
    <row r="20" spans="2:3" x14ac:dyDescent="0.35">
      <c r="B20" t="s">
        <v>38</v>
      </c>
      <c r="C20" s="7">
        <f>C9^2/(2*C10)*C8</f>
        <v>4004.2487420016751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184E9-6030-4D82-A8ED-CA6E3D325091}">
  <dimension ref="A3:B8"/>
  <sheetViews>
    <sheetView zoomScale="76" workbookViewId="0">
      <selection activeCell="L11" sqref="L11"/>
    </sheetView>
  </sheetViews>
  <sheetFormatPr defaultRowHeight="14.5" x14ac:dyDescent="0.35"/>
  <cols>
    <col min="1" max="1" width="12.453125" bestFit="1" customWidth="1"/>
    <col min="2" max="2" width="11.36328125" bestFit="1" customWidth="1"/>
  </cols>
  <sheetData>
    <row r="3" spans="1:2" x14ac:dyDescent="0.35">
      <c r="A3" s="3" t="s">
        <v>16</v>
      </c>
      <c r="B3" t="s">
        <v>15</v>
      </c>
    </row>
    <row r="4" spans="1:2" x14ac:dyDescent="0.35">
      <c r="A4" s="4" t="s">
        <v>18</v>
      </c>
    </row>
    <row r="5" spans="1:2" x14ac:dyDescent="0.35">
      <c r="A5" s="4" t="s">
        <v>19</v>
      </c>
      <c r="B5">
        <v>8531</v>
      </c>
    </row>
    <row r="6" spans="1:2" x14ac:dyDescent="0.35">
      <c r="A6" s="4" t="s">
        <v>20</v>
      </c>
      <c r="B6">
        <v>12884</v>
      </c>
    </row>
    <row r="7" spans="1:2" x14ac:dyDescent="0.35">
      <c r="A7" s="4" t="s">
        <v>21</v>
      </c>
      <c r="B7">
        <v>17365</v>
      </c>
    </row>
    <row r="8" spans="1:2" x14ac:dyDescent="0.35">
      <c r="A8" s="4" t="s">
        <v>17</v>
      </c>
      <c r="B8">
        <v>38780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9C690-CB9B-42FF-B65A-7E11089F5785}">
  <dimension ref="A3:B8"/>
  <sheetViews>
    <sheetView workbookViewId="0">
      <selection activeCell="B12" sqref="B12"/>
    </sheetView>
  </sheetViews>
  <sheetFormatPr defaultRowHeight="14.5" x14ac:dyDescent="0.35"/>
  <cols>
    <col min="1" max="1" width="12.453125" bestFit="1" customWidth="1"/>
    <col min="2" max="2" width="23.7265625" bestFit="1" customWidth="1"/>
  </cols>
  <sheetData>
    <row r="3" spans="1:2" x14ac:dyDescent="0.35">
      <c r="A3" s="3" t="s">
        <v>16</v>
      </c>
      <c r="B3" t="s">
        <v>22</v>
      </c>
    </row>
    <row r="4" spans="1:2" x14ac:dyDescent="0.35">
      <c r="A4" s="4" t="s">
        <v>18</v>
      </c>
    </row>
    <row r="5" spans="1:2" x14ac:dyDescent="0.35">
      <c r="A5" s="4" t="s">
        <v>19</v>
      </c>
      <c r="B5">
        <v>184.94569863013692</v>
      </c>
    </row>
    <row r="6" spans="1:2" x14ac:dyDescent="0.35">
      <c r="A6" s="4" t="s">
        <v>20</v>
      </c>
      <c r="B6">
        <v>184.68479452054797</v>
      </c>
    </row>
    <row r="7" spans="1:2" x14ac:dyDescent="0.35">
      <c r="A7" s="4" t="s">
        <v>21</v>
      </c>
      <c r="B7">
        <v>183.93114754098337</v>
      </c>
    </row>
    <row r="8" spans="1:2" x14ac:dyDescent="0.35">
      <c r="A8" s="4" t="s">
        <v>17</v>
      </c>
      <c r="B8">
        <v>184.52000912408752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54DA9-1B2A-4E88-8711-E4108AC7FBE4}">
  <dimension ref="A3:B8"/>
  <sheetViews>
    <sheetView topLeftCell="B1" workbookViewId="0">
      <selection activeCell="B12" sqref="B12"/>
    </sheetView>
  </sheetViews>
  <sheetFormatPr defaultRowHeight="14.5" x14ac:dyDescent="0.35"/>
  <cols>
    <col min="1" max="1" width="12.453125" bestFit="1" customWidth="1"/>
    <col min="2" max="2" width="26.453125" bestFit="1" customWidth="1"/>
  </cols>
  <sheetData>
    <row r="3" spans="1:2" x14ac:dyDescent="0.35">
      <c r="A3" s="3" t="s">
        <v>16</v>
      </c>
      <c r="B3" t="s">
        <v>23</v>
      </c>
    </row>
    <row r="4" spans="1:2" x14ac:dyDescent="0.35">
      <c r="A4" s="4" t="s">
        <v>18</v>
      </c>
    </row>
    <row r="5" spans="1:2" x14ac:dyDescent="0.35">
      <c r="A5" s="4" t="s">
        <v>19</v>
      </c>
      <c r="B5">
        <v>50.040465753424698</v>
      </c>
    </row>
    <row r="6" spans="1:2" x14ac:dyDescent="0.35">
      <c r="A6" s="4" t="s">
        <v>20</v>
      </c>
      <c r="B6">
        <v>46.478630136986276</v>
      </c>
    </row>
    <row r="7" spans="1:2" x14ac:dyDescent="0.35">
      <c r="A7" s="4" t="s">
        <v>21</v>
      </c>
      <c r="B7">
        <v>43.110218579234996</v>
      </c>
    </row>
    <row r="8" spans="1:2" x14ac:dyDescent="0.35">
      <c r="A8" s="4" t="s">
        <v>17</v>
      </c>
      <c r="B8">
        <v>46.539972627737136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358F3-81FA-4119-ACAE-780C389E57EE}">
  <dimension ref="A1:G1097"/>
  <sheetViews>
    <sheetView zoomScale="90" workbookViewId="0">
      <selection activeCell="B15" sqref="B15"/>
    </sheetView>
  </sheetViews>
  <sheetFormatPr defaultRowHeight="14.5" x14ac:dyDescent="0.35"/>
  <cols>
    <col min="1" max="1" width="15.1796875" bestFit="1" customWidth="1"/>
    <col min="2" max="2" width="12.26953125" bestFit="1" customWidth="1"/>
    <col min="4" max="4" width="10.08984375" bestFit="1" customWidth="1"/>
    <col min="5" max="5" width="5.08984375" bestFit="1" customWidth="1"/>
    <col min="6" max="6" width="16.7265625" bestFit="1" customWidth="1"/>
    <col min="7" max="7" width="14.1796875" bestFit="1" customWidth="1"/>
  </cols>
  <sheetData>
    <row r="1" spans="1:7" x14ac:dyDescent="0.35">
      <c r="A1" t="s">
        <v>0</v>
      </c>
      <c r="B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5">
      <c r="A2">
        <v>0.18</v>
      </c>
      <c r="B2">
        <v>20</v>
      </c>
      <c r="D2" s="1">
        <v>44562</v>
      </c>
      <c r="E2">
        <v>17</v>
      </c>
      <c r="F2">
        <v>47.44</v>
      </c>
      <c r="G2">
        <v>148.22999999999999</v>
      </c>
    </row>
    <row r="3" spans="1:7" x14ac:dyDescent="0.35">
      <c r="D3" s="1">
        <v>44563</v>
      </c>
      <c r="E3">
        <v>21</v>
      </c>
      <c r="F3">
        <v>57.51</v>
      </c>
      <c r="G3">
        <v>230.97</v>
      </c>
    </row>
    <row r="4" spans="1:7" x14ac:dyDescent="0.35">
      <c r="D4" s="1">
        <v>44564</v>
      </c>
      <c r="E4">
        <v>16</v>
      </c>
      <c r="F4">
        <v>46.21</v>
      </c>
      <c r="G4">
        <v>148.57</v>
      </c>
    </row>
    <row r="5" spans="1:7" x14ac:dyDescent="0.35">
      <c r="D5" s="1">
        <v>44565</v>
      </c>
      <c r="E5">
        <v>16</v>
      </c>
      <c r="F5">
        <v>46.98</v>
      </c>
      <c r="G5">
        <v>229.73</v>
      </c>
    </row>
    <row r="6" spans="1:7" x14ac:dyDescent="0.35">
      <c r="D6" s="1">
        <v>44566</v>
      </c>
      <c r="E6">
        <v>20</v>
      </c>
      <c r="F6">
        <v>58.79</v>
      </c>
      <c r="G6">
        <v>231.51</v>
      </c>
    </row>
    <row r="7" spans="1:7" x14ac:dyDescent="0.35">
      <c r="D7" s="1">
        <v>44567</v>
      </c>
      <c r="E7">
        <v>12</v>
      </c>
      <c r="F7">
        <v>55.08</v>
      </c>
      <c r="G7">
        <v>190.44</v>
      </c>
    </row>
    <row r="8" spans="1:7" x14ac:dyDescent="0.35">
      <c r="D8" s="1">
        <v>44568</v>
      </c>
      <c r="E8">
        <v>23</v>
      </c>
      <c r="F8">
        <v>50.97</v>
      </c>
      <c r="G8">
        <v>188.96</v>
      </c>
    </row>
    <row r="9" spans="1:7" x14ac:dyDescent="0.35">
      <c r="D9" s="1">
        <v>44569</v>
      </c>
      <c r="E9">
        <v>22</v>
      </c>
      <c r="F9">
        <v>53.75</v>
      </c>
      <c r="G9">
        <v>143.65</v>
      </c>
    </row>
    <row r="10" spans="1:7" x14ac:dyDescent="0.35">
      <c r="D10" s="1">
        <v>44570</v>
      </c>
      <c r="E10">
        <v>21</v>
      </c>
      <c r="F10">
        <v>46.45</v>
      </c>
      <c r="G10">
        <v>138.03</v>
      </c>
    </row>
    <row r="11" spans="1:7" x14ac:dyDescent="0.35">
      <c r="D11" s="1">
        <v>44571</v>
      </c>
      <c r="E11">
        <v>21</v>
      </c>
      <c r="F11">
        <v>49.44</v>
      </c>
      <c r="G11">
        <v>192.31</v>
      </c>
    </row>
    <row r="12" spans="1:7" x14ac:dyDescent="0.35">
      <c r="D12" s="1">
        <v>44572</v>
      </c>
      <c r="E12">
        <v>22</v>
      </c>
      <c r="F12">
        <v>42.6</v>
      </c>
      <c r="G12">
        <v>173.74</v>
      </c>
    </row>
    <row r="13" spans="1:7" x14ac:dyDescent="0.35">
      <c r="D13" s="1">
        <v>44573</v>
      </c>
      <c r="E13">
        <v>15</v>
      </c>
      <c r="F13">
        <v>52.31</v>
      </c>
      <c r="G13">
        <v>162.93</v>
      </c>
    </row>
    <row r="14" spans="1:7" x14ac:dyDescent="0.35">
      <c r="D14" s="1">
        <v>44574</v>
      </c>
      <c r="E14">
        <v>20</v>
      </c>
      <c r="F14">
        <v>49.92</v>
      </c>
      <c r="G14">
        <v>203.16</v>
      </c>
    </row>
    <row r="15" spans="1:7" x14ac:dyDescent="0.35">
      <c r="D15" s="1">
        <v>44575</v>
      </c>
      <c r="E15">
        <v>12</v>
      </c>
      <c r="F15">
        <v>47.36</v>
      </c>
      <c r="G15">
        <v>191.77</v>
      </c>
    </row>
    <row r="16" spans="1:7" x14ac:dyDescent="0.35">
      <c r="D16" s="1">
        <v>44576</v>
      </c>
      <c r="E16">
        <v>22</v>
      </c>
      <c r="F16">
        <v>48.29</v>
      </c>
      <c r="G16">
        <v>225.66</v>
      </c>
    </row>
    <row r="17" spans="4:7" x14ac:dyDescent="0.35">
      <c r="D17" s="1">
        <v>44577</v>
      </c>
      <c r="E17">
        <v>15</v>
      </c>
      <c r="F17">
        <v>57.06</v>
      </c>
      <c r="G17">
        <v>231.21</v>
      </c>
    </row>
    <row r="18" spans="4:7" x14ac:dyDescent="0.35">
      <c r="D18" s="1">
        <v>44578</v>
      </c>
      <c r="E18">
        <v>22</v>
      </c>
      <c r="F18">
        <v>60.18</v>
      </c>
      <c r="G18">
        <v>142.75</v>
      </c>
    </row>
    <row r="19" spans="4:7" x14ac:dyDescent="0.35">
      <c r="D19" s="1">
        <v>44579</v>
      </c>
      <c r="E19">
        <v>16</v>
      </c>
      <c r="F19">
        <v>50.65</v>
      </c>
      <c r="G19">
        <v>159.58000000000001</v>
      </c>
    </row>
    <row r="20" spans="4:7" x14ac:dyDescent="0.35">
      <c r="D20" s="1">
        <v>44580</v>
      </c>
      <c r="E20">
        <v>21</v>
      </c>
      <c r="F20">
        <v>43.96</v>
      </c>
      <c r="G20">
        <v>200.92</v>
      </c>
    </row>
    <row r="21" spans="4:7" x14ac:dyDescent="0.35">
      <c r="D21" s="1">
        <v>44581</v>
      </c>
      <c r="E21">
        <v>12</v>
      </c>
      <c r="F21">
        <v>55.02</v>
      </c>
      <c r="G21">
        <v>155.94</v>
      </c>
    </row>
    <row r="22" spans="4:7" x14ac:dyDescent="0.35">
      <c r="D22" s="1">
        <v>44582</v>
      </c>
      <c r="E22">
        <v>22</v>
      </c>
      <c r="F22">
        <v>59.55</v>
      </c>
      <c r="G22">
        <v>157.28</v>
      </c>
    </row>
    <row r="23" spans="4:7" x14ac:dyDescent="0.35">
      <c r="D23" s="1">
        <v>44583</v>
      </c>
      <c r="E23">
        <v>22</v>
      </c>
      <c r="F23">
        <v>43.12</v>
      </c>
      <c r="G23">
        <v>199.84</v>
      </c>
    </row>
    <row r="24" spans="4:7" x14ac:dyDescent="0.35">
      <c r="D24" s="1">
        <v>44584</v>
      </c>
      <c r="E24">
        <v>18</v>
      </c>
      <c r="F24">
        <v>52.7</v>
      </c>
      <c r="G24">
        <v>170.37</v>
      </c>
    </row>
    <row r="25" spans="4:7" x14ac:dyDescent="0.35">
      <c r="D25" s="1">
        <v>44585</v>
      </c>
      <c r="E25">
        <v>21</v>
      </c>
      <c r="F25">
        <v>53.09</v>
      </c>
      <c r="G25">
        <v>217.78</v>
      </c>
    </row>
    <row r="26" spans="4:7" x14ac:dyDescent="0.35">
      <c r="D26" s="1">
        <v>44586</v>
      </c>
      <c r="E26">
        <v>19</v>
      </c>
      <c r="F26">
        <v>53.62</v>
      </c>
      <c r="G26">
        <v>209.51</v>
      </c>
    </row>
    <row r="27" spans="4:7" x14ac:dyDescent="0.35">
      <c r="D27" s="1">
        <v>44587</v>
      </c>
      <c r="E27">
        <v>19</v>
      </c>
      <c r="F27">
        <v>54.6</v>
      </c>
      <c r="G27">
        <v>143.29</v>
      </c>
    </row>
    <row r="28" spans="4:7" x14ac:dyDescent="0.35">
      <c r="D28" s="1">
        <v>44588</v>
      </c>
      <c r="E28">
        <v>18</v>
      </c>
      <c r="F28">
        <v>48.54</v>
      </c>
      <c r="G28">
        <v>149.59</v>
      </c>
    </row>
    <row r="29" spans="4:7" x14ac:dyDescent="0.35">
      <c r="D29" s="1">
        <v>44589</v>
      </c>
      <c r="E29">
        <v>18</v>
      </c>
      <c r="F29">
        <v>60.6</v>
      </c>
      <c r="G29">
        <v>193.39</v>
      </c>
    </row>
    <row r="30" spans="4:7" x14ac:dyDescent="0.35">
      <c r="D30" s="1">
        <v>44590</v>
      </c>
      <c r="E30">
        <v>13</v>
      </c>
      <c r="F30">
        <v>51.76</v>
      </c>
      <c r="G30">
        <v>177.6</v>
      </c>
    </row>
    <row r="31" spans="4:7" x14ac:dyDescent="0.35">
      <c r="D31" s="1">
        <v>44591</v>
      </c>
      <c r="E31">
        <v>19</v>
      </c>
      <c r="F31">
        <v>48.85</v>
      </c>
      <c r="G31">
        <v>185.9</v>
      </c>
    </row>
    <row r="32" spans="4:7" x14ac:dyDescent="0.35">
      <c r="D32" s="1">
        <v>44592</v>
      </c>
      <c r="E32">
        <v>21</v>
      </c>
      <c r="F32">
        <v>50.9</v>
      </c>
      <c r="G32">
        <v>164.73</v>
      </c>
    </row>
    <row r="33" spans="4:7" x14ac:dyDescent="0.35">
      <c r="D33" s="1">
        <v>44593</v>
      </c>
      <c r="E33">
        <v>18</v>
      </c>
      <c r="F33">
        <v>49.38</v>
      </c>
      <c r="G33">
        <v>161.22999999999999</v>
      </c>
    </row>
    <row r="34" spans="4:7" x14ac:dyDescent="0.35">
      <c r="D34" s="1">
        <v>44594</v>
      </c>
      <c r="E34">
        <v>24</v>
      </c>
      <c r="F34">
        <v>43.33</v>
      </c>
      <c r="G34">
        <v>226.16</v>
      </c>
    </row>
    <row r="35" spans="4:7" x14ac:dyDescent="0.35">
      <c r="D35" s="1">
        <v>44595</v>
      </c>
      <c r="E35">
        <v>19</v>
      </c>
      <c r="F35">
        <v>55.94</v>
      </c>
      <c r="G35">
        <v>191.35</v>
      </c>
    </row>
    <row r="36" spans="4:7" x14ac:dyDescent="0.35">
      <c r="D36" s="1">
        <v>44596</v>
      </c>
      <c r="E36">
        <v>21</v>
      </c>
      <c r="F36">
        <v>53.34</v>
      </c>
      <c r="G36">
        <v>232.61</v>
      </c>
    </row>
    <row r="37" spans="4:7" x14ac:dyDescent="0.35">
      <c r="D37" s="1">
        <v>44597</v>
      </c>
      <c r="E37">
        <v>24</v>
      </c>
      <c r="F37">
        <v>43.21</v>
      </c>
      <c r="G37">
        <v>185.85</v>
      </c>
    </row>
    <row r="38" spans="4:7" x14ac:dyDescent="0.35">
      <c r="D38" s="1">
        <v>44598</v>
      </c>
      <c r="E38">
        <v>18</v>
      </c>
      <c r="F38">
        <v>60.17</v>
      </c>
      <c r="G38">
        <v>193.04</v>
      </c>
    </row>
    <row r="39" spans="4:7" x14ac:dyDescent="0.35">
      <c r="D39" s="1">
        <v>44599</v>
      </c>
      <c r="E39">
        <v>21</v>
      </c>
      <c r="F39">
        <v>47.95</v>
      </c>
      <c r="G39">
        <v>146.96</v>
      </c>
    </row>
    <row r="40" spans="4:7" x14ac:dyDescent="0.35">
      <c r="D40" s="1">
        <v>44600</v>
      </c>
      <c r="E40">
        <v>24</v>
      </c>
      <c r="F40">
        <v>56.97</v>
      </c>
      <c r="G40">
        <v>226.21</v>
      </c>
    </row>
    <row r="41" spans="4:7" x14ac:dyDescent="0.35">
      <c r="D41" s="1">
        <v>44601</v>
      </c>
      <c r="E41">
        <v>14</v>
      </c>
      <c r="F41">
        <v>46.64</v>
      </c>
      <c r="G41">
        <v>169.78</v>
      </c>
    </row>
    <row r="42" spans="4:7" x14ac:dyDescent="0.35">
      <c r="D42" s="1">
        <v>44602</v>
      </c>
      <c r="E42">
        <v>15</v>
      </c>
      <c r="F42">
        <v>54.45</v>
      </c>
      <c r="G42">
        <v>149.09</v>
      </c>
    </row>
    <row r="43" spans="4:7" x14ac:dyDescent="0.35">
      <c r="D43" s="1">
        <v>44603</v>
      </c>
      <c r="E43">
        <v>17</v>
      </c>
      <c r="F43">
        <v>47.88</v>
      </c>
      <c r="G43">
        <v>173.07</v>
      </c>
    </row>
    <row r="44" spans="4:7" x14ac:dyDescent="0.35">
      <c r="D44" s="1">
        <v>44604</v>
      </c>
      <c r="E44">
        <v>18</v>
      </c>
      <c r="F44">
        <v>55.68</v>
      </c>
      <c r="G44">
        <v>199.43</v>
      </c>
    </row>
    <row r="45" spans="4:7" x14ac:dyDescent="0.35">
      <c r="D45" s="1">
        <v>44605</v>
      </c>
      <c r="E45">
        <v>17</v>
      </c>
      <c r="F45">
        <v>43.61</v>
      </c>
      <c r="G45">
        <v>214.68</v>
      </c>
    </row>
    <row r="46" spans="4:7" x14ac:dyDescent="0.35">
      <c r="D46" s="1">
        <v>44606</v>
      </c>
      <c r="E46">
        <v>15</v>
      </c>
      <c r="F46">
        <v>60.5</v>
      </c>
      <c r="G46">
        <v>163.65</v>
      </c>
    </row>
    <row r="47" spans="4:7" x14ac:dyDescent="0.35">
      <c r="D47" s="1">
        <v>44607</v>
      </c>
      <c r="E47">
        <v>25</v>
      </c>
      <c r="F47">
        <v>57.33</v>
      </c>
      <c r="G47">
        <v>225.07</v>
      </c>
    </row>
    <row r="48" spans="4:7" x14ac:dyDescent="0.35">
      <c r="D48" s="1">
        <v>44608</v>
      </c>
      <c r="E48">
        <v>15</v>
      </c>
      <c r="F48">
        <v>52.69</v>
      </c>
      <c r="G48">
        <v>167.21</v>
      </c>
    </row>
    <row r="49" spans="4:7" x14ac:dyDescent="0.35">
      <c r="D49" s="1">
        <v>44609</v>
      </c>
      <c r="E49">
        <v>21</v>
      </c>
      <c r="F49">
        <v>43.66</v>
      </c>
      <c r="G49">
        <v>187.64</v>
      </c>
    </row>
    <row r="50" spans="4:7" x14ac:dyDescent="0.35">
      <c r="D50" s="1">
        <v>44610</v>
      </c>
      <c r="E50">
        <v>20</v>
      </c>
      <c r="F50">
        <v>47.51</v>
      </c>
      <c r="G50">
        <v>149.36000000000001</v>
      </c>
    </row>
    <row r="51" spans="4:7" x14ac:dyDescent="0.35">
      <c r="D51" s="1">
        <v>44611</v>
      </c>
      <c r="E51">
        <v>23</v>
      </c>
      <c r="F51">
        <v>46.78</v>
      </c>
      <c r="G51">
        <v>146.61000000000001</v>
      </c>
    </row>
    <row r="52" spans="4:7" x14ac:dyDescent="0.35">
      <c r="D52" s="1">
        <v>44612</v>
      </c>
      <c r="E52">
        <v>20</v>
      </c>
      <c r="F52">
        <v>44.86</v>
      </c>
      <c r="G52">
        <v>186.82</v>
      </c>
    </row>
    <row r="53" spans="4:7" x14ac:dyDescent="0.35">
      <c r="D53" s="1">
        <v>44613</v>
      </c>
      <c r="E53">
        <v>14</v>
      </c>
      <c r="F53">
        <v>55.15</v>
      </c>
      <c r="G53">
        <v>198.42</v>
      </c>
    </row>
    <row r="54" spans="4:7" x14ac:dyDescent="0.35">
      <c r="D54" s="1">
        <v>44614</v>
      </c>
      <c r="E54">
        <v>25</v>
      </c>
      <c r="F54">
        <v>55.63</v>
      </c>
      <c r="G54">
        <v>137.91</v>
      </c>
    </row>
    <row r="55" spans="4:7" x14ac:dyDescent="0.35">
      <c r="D55" s="1">
        <v>44615</v>
      </c>
      <c r="E55">
        <v>19</v>
      </c>
      <c r="F55">
        <v>43.1</v>
      </c>
      <c r="G55">
        <v>207.63</v>
      </c>
    </row>
    <row r="56" spans="4:7" x14ac:dyDescent="0.35">
      <c r="D56" s="1">
        <v>44616</v>
      </c>
      <c r="E56">
        <v>17</v>
      </c>
      <c r="F56">
        <v>54.76</v>
      </c>
      <c r="G56">
        <v>174.91</v>
      </c>
    </row>
    <row r="57" spans="4:7" x14ac:dyDescent="0.35">
      <c r="D57" s="1">
        <v>44617</v>
      </c>
      <c r="E57">
        <v>14</v>
      </c>
      <c r="F57">
        <v>43.44</v>
      </c>
      <c r="G57">
        <v>160.84</v>
      </c>
    </row>
    <row r="58" spans="4:7" x14ac:dyDescent="0.35">
      <c r="D58" s="1">
        <v>44618</v>
      </c>
      <c r="E58">
        <v>13</v>
      </c>
      <c r="F58">
        <v>53.25</v>
      </c>
      <c r="G58">
        <v>226.86</v>
      </c>
    </row>
    <row r="59" spans="4:7" x14ac:dyDescent="0.35">
      <c r="D59" s="1">
        <v>44619</v>
      </c>
      <c r="E59">
        <v>18</v>
      </c>
      <c r="F59">
        <v>58.38</v>
      </c>
      <c r="G59">
        <v>198.24</v>
      </c>
    </row>
    <row r="60" spans="4:7" x14ac:dyDescent="0.35">
      <c r="D60" s="1">
        <v>44620</v>
      </c>
      <c r="E60">
        <v>14</v>
      </c>
      <c r="F60">
        <v>43.31</v>
      </c>
      <c r="G60">
        <v>230.52</v>
      </c>
    </row>
    <row r="61" spans="4:7" x14ac:dyDescent="0.35">
      <c r="D61" s="1">
        <v>44621</v>
      </c>
      <c r="E61">
        <v>23</v>
      </c>
      <c r="F61">
        <v>60.84</v>
      </c>
      <c r="G61">
        <v>222.32</v>
      </c>
    </row>
    <row r="62" spans="4:7" x14ac:dyDescent="0.35">
      <c r="D62" s="1">
        <v>44622</v>
      </c>
      <c r="E62">
        <v>19</v>
      </c>
      <c r="F62">
        <v>51.3</v>
      </c>
      <c r="G62">
        <v>210.74</v>
      </c>
    </row>
    <row r="63" spans="4:7" x14ac:dyDescent="0.35">
      <c r="D63" s="1">
        <v>44623</v>
      </c>
      <c r="E63">
        <v>18</v>
      </c>
      <c r="F63">
        <v>44</v>
      </c>
      <c r="G63">
        <v>214.01</v>
      </c>
    </row>
    <row r="64" spans="4:7" x14ac:dyDescent="0.35">
      <c r="D64" s="1">
        <v>44624</v>
      </c>
      <c r="E64">
        <v>18</v>
      </c>
      <c r="F64">
        <v>41.48</v>
      </c>
      <c r="G64">
        <v>234.37</v>
      </c>
    </row>
    <row r="65" spans="4:7" x14ac:dyDescent="0.35">
      <c r="D65" s="1">
        <v>44625</v>
      </c>
      <c r="E65">
        <v>24</v>
      </c>
      <c r="F65">
        <v>59.71</v>
      </c>
      <c r="G65">
        <v>169.16</v>
      </c>
    </row>
    <row r="66" spans="4:7" x14ac:dyDescent="0.35">
      <c r="D66" s="1">
        <v>44626</v>
      </c>
      <c r="E66">
        <v>24</v>
      </c>
      <c r="F66">
        <v>53.08</v>
      </c>
      <c r="G66">
        <v>209.79</v>
      </c>
    </row>
    <row r="67" spans="4:7" x14ac:dyDescent="0.35">
      <c r="D67" s="1">
        <v>44627</v>
      </c>
      <c r="E67">
        <v>15</v>
      </c>
      <c r="F67">
        <v>58.12</v>
      </c>
      <c r="G67">
        <v>137.08000000000001</v>
      </c>
    </row>
    <row r="68" spans="4:7" x14ac:dyDescent="0.35">
      <c r="D68" s="1">
        <v>44628</v>
      </c>
      <c r="E68">
        <v>19</v>
      </c>
      <c r="F68">
        <v>57.85</v>
      </c>
      <c r="G68">
        <v>180.68</v>
      </c>
    </row>
    <row r="69" spans="4:7" x14ac:dyDescent="0.35">
      <c r="D69" s="1">
        <v>44629</v>
      </c>
      <c r="E69">
        <v>21</v>
      </c>
      <c r="F69">
        <v>57.17</v>
      </c>
      <c r="G69">
        <v>154.53</v>
      </c>
    </row>
    <row r="70" spans="4:7" x14ac:dyDescent="0.35">
      <c r="D70" s="1">
        <v>44630</v>
      </c>
      <c r="E70">
        <v>21</v>
      </c>
      <c r="F70">
        <v>48.22</v>
      </c>
      <c r="G70">
        <v>207.85</v>
      </c>
    </row>
    <row r="71" spans="4:7" x14ac:dyDescent="0.35">
      <c r="D71" s="1">
        <v>44631</v>
      </c>
      <c r="E71">
        <v>21</v>
      </c>
      <c r="F71">
        <v>58.46</v>
      </c>
      <c r="G71">
        <v>170.46</v>
      </c>
    </row>
    <row r="72" spans="4:7" x14ac:dyDescent="0.35">
      <c r="D72" s="1">
        <v>44632</v>
      </c>
      <c r="E72">
        <v>21</v>
      </c>
      <c r="F72">
        <v>44.52</v>
      </c>
      <c r="G72">
        <v>199.42</v>
      </c>
    </row>
    <row r="73" spans="4:7" x14ac:dyDescent="0.35">
      <c r="D73" s="1">
        <v>44633</v>
      </c>
      <c r="E73">
        <v>18</v>
      </c>
      <c r="F73">
        <v>42.16</v>
      </c>
      <c r="G73">
        <v>165.4</v>
      </c>
    </row>
    <row r="74" spans="4:7" x14ac:dyDescent="0.35">
      <c r="D74" s="1">
        <v>44634</v>
      </c>
      <c r="E74">
        <v>20</v>
      </c>
      <c r="F74">
        <v>60.2</v>
      </c>
      <c r="G74">
        <v>231.67</v>
      </c>
    </row>
    <row r="75" spans="4:7" x14ac:dyDescent="0.35">
      <c r="D75" s="1">
        <v>44635</v>
      </c>
      <c r="E75">
        <v>21</v>
      </c>
      <c r="F75">
        <v>58.51</v>
      </c>
      <c r="G75">
        <v>189.03</v>
      </c>
    </row>
    <row r="76" spans="4:7" x14ac:dyDescent="0.35">
      <c r="D76" s="1">
        <v>44636</v>
      </c>
      <c r="E76">
        <v>24</v>
      </c>
      <c r="F76">
        <v>47.89</v>
      </c>
      <c r="G76">
        <v>172.53</v>
      </c>
    </row>
    <row r="77" spans="4:7" x14ac:dyDescent="0.35">
      <c r="D77" s="1">
        <v>44637</v>
      </c>
      <c r="E77">
        <v>26</v>
      </c>
      <c r="F77">
        <v>53.12</v>
      </c>
      <c r="G77">
        <v>221.87</v>
      </c>
    </row>
    <row r="78" spans="4:7" x14ac:dyDescent="0.35">
      <c r="D78" s="1">
        <v>44638</v>
      </c>
      <c r="E78">
        <v>25</v>
      </c>
      <c r="F78">
        <v>60.7</v>
      </c>
      <c r="G78">
        <v>174.07</v>
      </c>
    </row>
    <row r="79" spans="4:7" x14ac:dyDescent="0.35">
      <c r="D79" s="1">
        <v>44639</v>
      </c>
      <c r="E79">
        <v>24</v>
      </c>
      <c r="F79">
        <v>54.96</v>
      </c>
      <c r="G79">
        <v>158.71</v>
      </c>
    </row>
    <row r="80" spans="4:7" x14ac:dyDescent="0.35">
      <c r="D80" s="1">
        <v>44640</v>
      </c>
      <c r="E80">
        <v>26</v>
      </c>
      <c r="F80">
        <v>54.3</v>
      </c>
      <c r="G80">
        <v>234.68</v>
      </c>
    </row>
    <row r="81" spans="4:7" x14ac:dyDescent="0.35">
      <c r="D81" s="1">
        <v>44641</v>
      </c>
      <c r="E81">
        <v>21</v>
      </c>
      <c r="F81">
        <v>48.47</v>
      </c>
      <c r="G81">
        <v>204.68</v>
      </c>
    </row>
    <row r="82" spans="4:7" x14ac:dyDescent="0.35">
      <c r="D82" s="1">
        <v>44642</v>
      </c>
      <c r="E82">
        <v>17</v>
      </c>
      <c r="F82">
        <v>45.62</v>
      </c>
      <c r="G82">
        <v>170.83</v>
      </c>
    </row>
    <row r="83" spans="4:7" x14ac:dyDescent="0.35">
      <c r="D83" s="1">
        <v>44643</v>
      </c>
      <c r="E83">
        <v>22</v>
      </c>
      <c r="F83">
        <v>55.51</v>
      </c>
      <c r="G83">
        <v>185.03</v>
      </c>
    </row>
    <row r="84" spans="4:7" x14ac:dyDescent="0.35">
      <c r="D84" s="1">
        <v>44644</v>
      </c>
      <c r="E84">
        <v>24</v>
      </c>
      <c r="F84">
        <v>51.95</v>
      </c>
      <c r="G84">
        <v>234.62</v>
      </c>
    </row>
    <row r="85" spans="4:7" x14ac:dyDescent="0.35">
      <c r="D85" s="1">
        <v>44645</v>
      </c>
      <c r="E85">
        <v>18</v>
      </c>
      <c r="F85">
        <v>45.32</v>
      </c>
      <c r="G85">
        <v>190.16</v>
      </c>
    </row>
    <row r="86" spans="4:7" x14ac:dyDescent="0.35">
      <c r="D86" s="1">
        <v>44646</v>
      </c>
      <c r="E86">
        <v>19</v>
      </c>
      <c r="F86">
        <v>51.62</v>
      </c>
      <c r="G86">
        <v>228.05</v>
      </c>
    </row>
    <row r="87" spans="4:7" x14ac:dyDescent="0.35">
      <c r="D87" s="1">
        <v>44647</v>
      </c>
      <c r="E87">
        <v>25</v>
      </c>
      <c r="F87">
        <v>49.92</v>
      </c>
      <c r="G87">
        <v>165.75</v>
      </c>
    </row>
    <row r="88" spans="4:7" x14ac:dyDescent="0.35">
      <c r="D88" s="1">
        <v>44648</v>
      </c>
      <c r="E88">
        <v>14</v>
      </c>
      <c r="F88">
        <v>55.26</v>
      </c>
      <c r="G88">
        <v>191.84</v>
      </c>
    </row>
    <row r="89" spans="4:7" x14ac:dyDescent="0.35">
      <c r="D89" s="1">
        <v>44649</v>
      </c>
      <c r="E89">
        <v>26</v>
      </c>
      <c r="F89">
        <v>40.799999999999997</v>
      </c>
      <c r="G89">
        <v>139.72999999999999</v>
      </c>
    </row>
    <row r="90" spans="4:7" x14ac:dyDescent="0.35">
      <c r="D90" s="1">
        <v>44650</v>
      </c>
      <c r="E90">
        <v>18</v>
      </c>
      <c r="F90">
        <v>42.45</v>
      </c>
      <c r="G90">
        <v>183.74</v>
      </c>
    </row>
    <row r="91" spans="4:7" x14ac:dyDescent="0.35">
      <c r="D91" s="1">
        <v>44651</v>
      </c>
      <c r="E91">
        <v>23</v>
      </c>
      <c r="F91">
        <v>59.74</v>
      </c>
      <c r="G91">
        <v>225.59</v>
      </c>
    </row>
    <row r="92" spans="4:7" x14ac:dyDescent="0.35">
      <c r="D92" s="1">
        <v>44652</v>
      </c>
      <c r="E92">
        <v>21</v>
      </c>
      <c r="F92">
        <v>45.42</v>
      </c>
      <c r="G92">
        <v>160.22999999999999</v>
      </c>
    </row>
    <row r="93" spans="4:7" x14ac:dyDescent="0.35">
      <c r="D93" s="1">
        <v>44653</v>
      </c>
      <c r="E93">
        <v>18</v>
      </c>
      <c r="F93">
        <v>58.59</v>
      </c>
      <c r="G93">
        <v>211.84</v>
      </c>
    </row>
    <row r="94" spans="4:7" x14ac:dyDescent="0.35">
      <c r="D94" s="1">
        <v>44654</v>
      </c>
      <c r="E94">
        <v>19</v>
      </c>
      <c r="F94">
        <v>56.8</v>
      </c>
      <c r="G94">
        <v>151.29</v>
      </c>
    </row>
    <row r="95" spans="4:7" x14ac:dyDescent="0.35">
      <c r="D95" s="1">
        <v>44655</v>
      </c>
      <c r="E95">
        <v>19</v>
      </c>
      <c r="F95">
        <v>43.82</v>
      </c>
      <c r="G95">
        <v>148.58000000000001</v>
      </c>
    </row>
    <row r="96" spans="4:7" x14ac:dyDescent="0.35">
      <c r="D96" s="1">
        <v>44656</v>
      </c>
      <c r="E96">
        <v>19</v>
      </c>
      <c r="F96">
        <v>58.27</v>
      </c>
      <c r="G96">
        <v>168.48</v>
      </c>
    </row>
    <row r="97" spans="4:7" x14ac:dyDescent="0.35">
      <c r="D97" s="1">
        <v>44657</v>
      </c>
      <c r="E97">
        <v>24</v>
      </c>
      <c r="F97">
        <v>56.76</v>
      </c>
      <c r="G97">
        <v>230.33</v>
      </c>
    </row>
    <row r="98" spans="4:7" x14ac:dyDescent="0.35">
      <c r="D98" s="1">
        <v>44658</v>
      </c>
      <c r="E98">
        <v>20</v>
      </c>
      <c r="F98">
        <v>55.09</v>
      </c>
      <c r="G98">
        <v>180.61</v>
      </c>
    </row>
    <row r="99" spans="4:7" x14ac:dyDescent="0.35">
      <c r="D99" s="1">
        <v>44659</v>
      </c>
      <c r="E99">
        <v>22</v>
      </c>
      <c r="F99">
        <v>52.75</v>
      </c>
      <c r="G99">
        <v>186.89</v>
      </c>
    </row>
    <row r="100" spans="4:7" x14ac:dyDescent="0.35">
      <c r="D100" s="1">
        <v>44660</v>
      </c>
      <c r="E100">
        <v>25</v>
      </c>
      <c r="F100">
        <v>52.64</v>
      </c>
      <c r="G100">
        <v>139.94999999999999</v>
      </c>
    </row>
    <row r="101" spans="4:7" x14ac:dyDescent="0.35">
      <c r="D101" s="1">
        <v>44661</v>
      </c>
      <c r="E101">
        <v>26</v>
      </c>
      <c r="F101">
        <v>48.88</v>
      </c>
      <c r="G101">
        <v>157.16</v>
      </c>
    </row>
    <row r="102" spans="4:7" x14ac:dyDescent="0.35">
      <c r="D102" s="1">
        <v>44662</v>
      </c>
      <c r="E102">
        <v>24</v>
      </c>
      <c r="F102">
        <v>58.52</v>
      </c>
      <c r="G102">
        <v>145.5</v>
      </c>
    </row>
    <row r="103" spans="4:7" x14ac:dyDescent="0.35">
      <c r="D103" s="1">
        <v>44663</v>
      </c>
      <c r="E103">
        <v>24</v>
      </c>
      <c r="F103">
        <v>56.25</v>
      </c>
      <c r="G103">
        <v>175.88</v>
      </c>
    </row>
    <row r="104" spans="4:7" x14ac:dyDescent="0.35">
      <c r="D104" s="1">
        <v>44664</v>
      </c>
      <c r="E104">
        <v>24</v>
      </c>
      <c r="F104">
        <v>56.41</v>
      </c>
      <c r="G104">
        <v>181.94</v>
      </c>
    </row>
    <row r="105" spans="4:7" x14ac:dyDescent="0.35">
      <c r="D105" s="1">
        <v>44665</v>
      </c>
      <c r="E105">
        <v>21</v>
      </c>
      <c r="F105">
        <v>58.21</v>
      </c>
      <c r="G105">
        <v>200.58</v>
      </c>
    </row>
    <row r="106" spans="4:7" x14ac:dyDescent="0.35">
      <c r="D106" s="1">
        <v>44666</v>
      </c>
      <c r="E106">
        <v>17</v>
      </c>
      <c r="F106">
        <v>52.68</v>
      </c>
      <c r="G106">
        <v>233.27</v>
      </c>
    </row>
    <row r="107" spans="4:7" x14ac:dyDescent="0.35">
      <c r="D107" s="1">
        <v>44667</v>
      </c>
      <c r="E107">
        <v>22</v>
      </c>
      <c r="F107">
        <v>42.44</v>
      </c>
      <c r="G107">
        <v>199.38</v>
      </c>
    </row>
    <row r="108" spans="4:7" x14ac:dyDescent="0.35">
      <c r="D108" s="1">
        <v>44668</v>
      </c>
      <c r="E108">
        <v>16</v>
      </c>
      <c r="F108">
        <v>53.97</v>
      </c>
      <c r="G108">
        <v>179.87</v>
      </c>
    </row>
    <row r="109" spans="4:7" x14ac:dyDescent="0.35">
      <c r="D109" s="1">
        <v>44669</v>
      </c>
      <c r="E109">
        <v>22</v>
      </c>
      <c r="F109">
        <v>58.72</v>
      </c>
      <c r="G109">
        <v>215.05</v>
      </c>
    </row>
    <row r="110" spans="4:7" x14ac:dyDescent="0.35">
      <c r="D110" s="1">
        <v>44670</v>
      </c>
      <c r="E110">
        <v>24</v>
      </c>
      <c r="F110">
        <v>45.63</v>
      </c>
      <c r="G110">
        <v>172.37</v>
      </c>
    </row>
    <row r="111" spans="4:7" x14ac:dyDescent="0.35">
      <c r="D111" s="1">
        <v>44671</v>
      </c>
      <c r="E111">
        <v>20</v>
      </c>
      <c r="F111">
        <v>47.94</v>
      </c>
      <c r="G111">
        <v>192.32</v>
      </c>
    </row>
    <row r="112" spans="4:7" x14ac:dyDescent="0.35">
      <c r="D112" s="1">
        <v>44672</v>
      </c>
      <c r="E112">
        <v>25</v>
      </c>
      <c r="F112">
        <v>53.05</v>
      </c>
      <c r="G112">
        <v>197.76</v>
      </c>
    </row>
    <row r="113" spans="4:7" x14ac:dyDescent="0.35">
      <c r="D113" s="1">
        <v>44673</v>
      </c>
      <c r="E113">
        <v>22</v>
      </c>
      <c r="F113">
        <v>57.65</v>
      </c>
      <c r="G113">
        <v>180.52</v>
      </c>
    </row>
    <row r="114" spans="4:7" x14ac:dyDescent="0.35">
      <c r="D114" s="1">
        <v>44674</v>
      </c>
      <c r="E114">
        <v>17</v>
      </c>
      <c r="F114">
        <v>48.5</v>
      </c>
      <c r="G114">
        <v>202.56</v>
      </c>
    </row>
    <row r="115" spans="4:7" x14ac:dyDescent="0.35">
      <c r="D115" s="1">
        <v>44675</v>
      </c>
      <c r="E115">
        <v>26</v>
      </c>
      <c r="F115">
        <v>40.950000000000003</v>
      </c>
      <c r="G115">
        <v>172.35</v>
      </c>
    </row>
    <row r="116" spans="4:7" x14ac:dyDescent="0.35">
      <c r="D116" s="1">
        <v>44676</v>
      </c>
      <c r="E116">
        <v>16</v>
      </c>
      <c r="F116">
        <v>45.27</v>
      </c>
      <c r="G116">
        <v>154.38</v>
      </c>
    </row>
    <row r="117" spans="4:7" x14ac:dyDescent="0.35">
      <c r="D117" s="1">
        <v>44677</v>
      </c>
      <c r="E117">
        <v>24</v>
      </c>
      <c r="F117">
        <v>48.68</v>
      </c>
      <c r="G117">
        <v>199.6</v>
      </c>
    </row>
    <row r="118" spans="4:7" x14ac:dyDescent="0.35">
      <c r="D118" s="1">
        <v>44678</v>
      </c>
      <c r="E118">
        <v>18</v>
      </c>
      <c r="F118">
        <v>46.02</v>
      </c>
      <c r="G118">
        <v>192.25</v>
      </c>
    </row>
    <row r="119" spans="4:7" x14ac:dyDescent="0.35">
      <c r="D119" s="1">
        <v>44679</v>
      </c>
      <c r="E119">
        <v>21</v>
      </c>
      <c r="F119">
        <v>46.67</v>
      </c>
      <c r="G119">
        <v>135.13</v>
      </c>
    </row>
    <row r="120" spans="4:7" x14ac:dyDescent="0.35">
      <c r="D120" s="1">
        <v>44680</v>
      </c>
      <c r="E120">
        <v>21</v>
      </c>
      <c r="F120">
        <v>53.86</v>
      </c>
      <c r="G120">
        <v>169.98</v>
      </c>
    </row>
    <row r="121" spans="4:7" x14ac:dyDescent="0.35">
      <c r="D121" s="1">
        <v>44681</v>
      </c>
      <c r="E121">
        <v>18</v>
      </c>
      <c r="F121">
        <v>45.27</v>
      </c>
      <c r="G121">
        <v>170.63</v>
      </c>
    </row>
    <row r="122" spans="4:7" x14ac:dyDescent="0.35">
      <c r="D122" s="1">
        <v>44682</v>
      </c>
      <c r="E122">
        <v>17</v>
      </c>
      <c r="F122">
        <v>45.42</v>
      </c>
      <c r="G122">
        <v>199.15</v>
      </c>
    </row>
    <row r="123" spans="4:7" x14ac:dyDescent="0.35">
      <c r="D123" s="1">
        <v>44683</v>
      </c>
      <c r="E123">
        <v>23</v>
      </c>
      <c r="F123">
        <v>41.95</v>
      </c>
      <c r="G123">
        <v>229.86</v>
      </c>
    </row>
    <row r="124" spans="4:7" x14ac:dyDescent="0.35">
      <c r="D124" s="1">
        <v>44684</v>
      </c>
      <c r="E124">
        <v>23</v>
      </c>
      <c r="F124">
        <v>53.21</v>
      </c>
      <c r="G124">
        <v>182.96</v>
      </c>
    </row>
    <row r="125" spans="4:7" x14ac:dyDescent="0.35">
      <c r="D125" s="1">
        <v>44685</v>
      </c>
      <c r="E125">
        <v>20</v>
      </c>
      <c r="F125">
        <v>44.47</v>
      </c>
      <c r="G125">
        <v>161.16</v>
      </c>
    </row>
    <row r="126" spans="4:7" x14ac:dyDescent="0.35">
      <c r="D126" s="1">
        <v>44686</v>
      </c>
      <c r="E126">
        <v>21</v>
      </c>
      <c r="F126">
        <v>53.14</v>
      </c>
      <c r="G126">
        <v>198.64</v>
      </c>
    </row>
    <row r="127" spans="4:7" x14ac:dyDescent="0.35">
      <c r="D127" s="1">
        <v>44687</v>
      </c>
      <c r="E127">
        <v>18</v>
      </c>
      <c r="F127">
        <v>55.03</v>
      </c>
      <c r="G127">
        <v>231.94</v>
      </c>
    </row>
    <row r="128" spans="4:7" x14ac:dyDescent="0.35">
      <c r="D128" s="1">
        <v>44688</v>
      </c>
      <c r="E128">
        <v>17</v>
      </c>
      <c r="F128">
        <v>54.03</v>
      </c>
      <c r="G128">
        <v>173.87</v>
      </c>
    </row>
    <row r="129" spans="4:7" x14ac:dyDescent="0.35">
      <c r="D129" s="1">
        <v>44689</v>
      </c>
      <c r="E129">
        <v>19</v>
      </c>
      <c r="F129">
        <v>41.32</v>
      </c>
      <c r="G129">
        <v>136.32</v>
      </c>
    </row>
    <row r="130" spans="4:7" x14ac:dyDescent="0.35">
      <c r="D130" s="1">
        <v>44690</v>
      </c>
      <c r="E130">
        <v>25</v>
      </c>
      <c r="F130">
        <v>49.9</v>
      </c>
      <c r="G130">
        <v>152.76</v>
      </c>
    </row>
    <row r="131" spans="4:7" x14ac:dyDescent="0.35">
      <c r="D131" s="1">
        <v>44691</v>
      </c>
      <c r="E131">
        <v>20</v>
      </c>
      <c r="F131">
        <v>59.57</v>
      </c>
      <c r="G131">
        <v>215.66</v>
      </c>
    </row>
    <row r="132" spans="4:7" x14ac:dyDescent="0.35">
      <c r="D132" s="1">
        <v>44692</v>
      </c>
      <c r="E132">
        <v>17</v>
      </c>
      <c r="F132">
        <v>56.69</v>
      </c>
      <c r="G132">
        <v>189.96</v>
      </c>
    </row>
    <row r="133" spans="4:7" x14ac:dyDescent="0.35">
      <c r="D133" s="1">
        <v>44693</v>
      </c>
      <c r="E133">
        <v>25</v>
      </c>
      <c r="F133">
        <v>56.21</v>
      </c>
      <c r="G133">
        <v>142.24</v>
      </c>
    </row>
    <row r="134" spans="4:7" x14ac:dyDescent="0.35">
      <c r="D134" s="1">
        <v>44694</v>
      </c>
      <c r="E134">
        <v>22</v>
      </c>
      <c r="F134">
        <v>53.14</v>
      </c>
      <c r="G134">
        <v>155.5</v>
      </c>
    </row>
    <row r="135" spans="4:7" x14ac:dyDescent="0.35">
      <c r="D135" s="1">
        <v>44695</v>
      </c>
      <c r="E135">
        <v>21</v>
      </c>
      <c r="F135">
        <v>59.1</v>
      </c>
      <c r="G135">
        <v>207.31</v>
      </c>
    </row>
    <row r="136" spans="4:7" x14ac:dyDescent="0.35">
      <c r="D136" s="1">
        <v>44696</v>
      </c>
      <c r="E136">
        <v>27</v>
      </c>
      <c r="F136">
        <v>43.85</v>
      </c>
      <c r="G136">
        <v>188.06</v>
      </c>
    </row>
    <row r="137" spans="4:7" x14ac:dyDescent="0.35">
      <c r="D137" s="1">
        <v>44697</v>
      </c>
      <c r="E137">
        <v>26</v>
      </c>
      <c r="F137">
        <v>59.13</v>
      </c>
      <c r="G137">
        <v>214.16</v>
      </c>
    </row>
    <row r="138" spans="4:7" x14ac:dyDescent="0.35">
      <c r="D138" s="1">
        <v>44698</v>
      </c>
      <c r="E138">
        <v>22</v>
      </c>
      <c r="F138">
        <v>60.04</v>
      </c>
      <c r="G138">
        <v>137.24</v>
      </c>
    </row>
    <row r="139" spans="4:7" x14ac:dyDescent="0.35">
      <c r="D139" s="1">
        <v>44699</v>
      </c>
      <c r="E139">
        <v>25</v>
      </c>
      <c r="F139">
        <v>59.2</v>
      </c>
      <c r="G139">
        <v>186.58</v>
      </c>
    </row>
    <row r="140" spans="4:7" x14ac:dyDescent="0.35">
      <c r="D140" s="1">
        <v>44700</v>
      </c>
      <c r="E140">
        <v>22</v>
      </c>
      <c r="F140">
        <v>48.03</v>
      </c>
      <c r="G140">
        <v>154.01</v>
      </c>
    </row>
    <row r="141" spans="4:7" x14ac:dyDescent="0.35">
      <c r="D141" s="1">
        <v>44701</v>
      </c>
      <c r="E141">
        <v>26</v>
      </c>
      <c r="F141">
        <v>53.24</v>
      </c>
      <c r="G141">
        <v>167.57</v>
      </c>
    </row>
    <row r="142" spans="4:7" x14ac:dyDescent="0.35">
      <c r="D142" s="1">
        <v>44702</v>
      </c>
      <c r="E142">
        <v>19</v>
      </c>
      <c r="F142">
        <v>59.12</v>
      </c>
      <c r="G142">
        <v>223.92</v>
      </c>
    </row>
    <row r="143" spans="4:7" x14ac:dyDescent="0.35">
      <c r="D143" s="1">
        <v>44703</v>
      </c>
      <c r="E143">
        <v>19</v>
      </c>
      <c r="F143">
        <v>45.56</v>
      </c>
      <c r="G143">
        <v>158.71</v>
      </c>
    </row>
    <row r="144" spans="4:7" x14ac:dyDescent="0.35">
      <c r="D144" s="1">
        <v>44704</v>
      </c>
      <c r="E144">
        <v>19</v>
      </c>
      <c r="F144">
        <v>40.57</v>
      </c>
      <c r="G144">
        <v>139.4</v>
      </c>
    </row>
    <row r="145" spans="4:7" x14ac:dyDescent="0.35">
      <c r="D145" s="1">
        <v>44705</v>
      </c>
      <c r="E145">
        <v>21</v>
      </c>
      <c r="F145">
        <v>58.17</v>
      </c>
      <c r="G145">
        <v>143.44999999999999</v>
      </c>
    </row>
    <row r="146" spans="4:7" x14ac:dyDescent="0.35">
      <c r="D146" s="1">
        <v>44706</v>
      </c>
      <c r="E146">
        <v>19</v>
      </c>
      <c r="F146">
        <v>58.43</v>
      </c>
      <c r="G146">
        <v>165.86</v>
      </c>
    </row>
    <row r="147" spans="4:7" x14ac:dyDescent="0.35">
      <c r="D147" s="1">
        <v>44707</v>
      </c>
      <c r="E147">
        <v>17</v>
      </c>
      <c r="F147">
        <v>58.24</v>
      </c>
      <c r="G147">
        <v>145.18</v>
      </c>
    </row>
    <row r="148" spans="4:7" x14ac:dyDescent="0.35">
      <c r="D148" s="1">
        <v>44708</v>
      </c>
      <c r="E148">
        <v>17</v>
      </c>
      <c r="F148">
        <v>55.43</v>
      </c>
      <c r="G148">
        <v>195.74</v>
      </c>
    </row>
    <row r="149" spans="4:7" x14ac:dyDescent="0.35">
      <c r="D149" s="1">
        <v>44709</v>
      </c>
      <c r="E149">
        <v>20</v>
      </c>
      <c r="F149">
        <v>40.369999999999997</v>
      </c>
      <c r="G149">
        <v>159.66999999999999</v>
      </c>
    </row>
    <row r="150" spans="4:7" x14ac:dyDescent="0.35">
      <c r="D150" s="1">
        <v>44710</v>
      </c>
      <c r="E150">
        <v>17</v>
      </c>
      <c r="F150">
        <v>58.51</v>
      </c>
      <c r="G150">
        <v>150.69</v>
      </c>
    </row>
    <row r="151" spans="4:7" x14ac:dyDescent="0.35">
      <c r="D151" s="1">
        <v>44711</v>
      </c>
      <c r="E151">
        <v>21</v>
      </c>
      <c r="F151">
        <v>46.26</v>
      </c>
      <c r="G151">
        <v>154.59</v>
      </c>
    </row>
    <row r="152" spans="4:7" x14ac:dyDescent="0.35">
      <c r="D152" s="1">
        <v>44712</v>
      </c>
      <c r="E152">
        <v>24</v>
      </c>
      <c r="F152">
        <v>45.39</v>
      </c>
      <c r="G152">
        <v>176.92</v>
      </c>
    </row>
    <row r="153" spans="4:7" x14ac:dyDescent="0.35">
      <c r="D153" s="1">
        <v>44713</v>
      </c>
      <c r="E153">
        <v>26</v>
      </c>
      <c r="F153">
        <v>41.01</v>
      </c>
      <c r="G153">
        <v>161.85</v>
      </c>
    </row>
    <row r="154" spans="4:7" x14ac:dyDescent="0.35">
      <c r="D154" s="1">
        <v>44714</v>
      </c>
      <c r="E154">
        <v>19</v>
      </c>
      <c r="F154">
        <v>54.33</v>
      </c>
      <c r="G154">
        <v>141.83000000000001</v>
      </c>
    </row>
    <row r="155" spans="4:7" x14ac:dyDescent="0.35">
      <c r="D155" s="1">
        <v>44715</v>
      </c>
      <c r="E155">
        <v>22</v>
      </c>
      <c r="F155">
        <v>40.61</v>
      </c>
      <c r="G155">
        <v>189</v>
      </c>
    </row>
    <row r="156" spans="4:7" x14ac:dyDescent="0.35">
      <c r="D156" s="1">
        <v>44716</v>
      </c>
      <c r="E156">
        <v>28</v>
      </c>
      <c r="F156">
        <v>43.35</v>
      </c>
      <c r="G156">
        <v>184.16</v>
      </c>
    </row>
    <row r="157" spans="4:7" x14ac:dyDescent="0.35">
      <c r="D157" s="1">
        <v>44717</v>
      </c>
      <c r="E157">
        <v>28</v>
      </c>
      <c r="F157">
        <v>60.1</v>
      </c>
      <c r="G157">
        <v>157.43</v>
      </c>
    </row>
    <row r="158" spans="4:7" x14ac:dyDescent="0.35">
      <c r="D158" s="1">
        <v>44718</v>
      </c>
      <c r="E158">
        <v>19</v>
      </c>
      <c r="F158">
        <v>46.26</v>
      </c>
      <c r="G158">
        <v>155.82</v>
      </c>
    </row>
    <row r="159" spans="4:7" x14ac:dyDescent="0.35">
      <c r="D159" s="1">
        <v>44719</v>
      </c>
      <c r="E159">
        <v>21</v>
      </c>
      <c r="F159">
        <v>43.56</v>
      </c>
      <c r="G159">
        <v>230.91</v>
      </c>
    </row>
    <row r="160" spans="4:7" x14ac:dyDescent="0.35">
      <c r="D160" s="1">
        <v>44720</v>
      </c>
      <c r="E160">
        <v>18</v>
      </c>
      <c r="F160">
        <v>47.94</v>
      </c>
      <c r="G160">
        <v>225.04</v>
      </c>
    </row>
    <row r="161" spans="4:7" x14ac:dyDescent="0.35">
      <c r="D161" s="1">
        <v>44721</v>
      </c>
      <c r="E161">
        <v>19</v>
      </c>
      <c r="F161">
        <v>46.12</v>
      </c>
      <c r="G161">
        <v>199.36</v>
      </c>
    </row>
    <row r="162" spans="4:7" x14ac:dyDescent="0.35">
      <c r="D162" s="1">
        <v>44722</v>
      </c>
      <c r="E162">
        <v>26</v>
      </c>
      <c r="F162">
        <v>58.04</v>
      </c>
      <c r="G162">
        <v>158.91999999999999</v>
      </c>
    </row>
    <row r="163" spans="4:7" x14ac:dyDescent="0.35">
      <c r="D163" s="1">
        <v>44723</v>
      </c>
      <c r="E163">
        <v>27</v>
      </c>
      <c r="F163">
        <v>48.05</v>
      </c>
      <c r="G163">
        <v>173.75</v>
      </c>
    </row>
    <row r="164" spans="4:7" x14ac:dyDescent="0.35">
      <c r="D164" s="1">
        <v>44724</v>
      </c>
      <c r="E164">
        <v>23</v>
      </c>
      <c r="F164">
        <v>44.42</v>
      </c>
      <c r="G164">
        <v>198.44</v>
      </c>
    </row>
    <row r="165" spans="4:7" x14ac:dyDescent="0.35">
      <c r="D165" s="1">
        <v>44725</v>
      </c>
      <c r="E165">
        <v>23</v>
      </c>
      <c r="F165">
        <v>41.79</v>
      </c>
      <c r="G165">
        <v>183.71</v>
      </c>
    </row>
    <row r="166" spans="4:7" x14ac:dyDescent="0.35">
      <c r="D166" s="1">
        <v>44726</v>
      </c>
      <c r="E166">
        <v>19</v>
      </c>
      <c r="F166">
        <v>56.55</v>
      </c>
      <c r="G166">
        <v>196.07</v>
      </c>
    </row>
    <row r="167" spans="4:7" x14ac:dyDescent="0.35">
      <c r="D167" s="1">
        <v>44727</v>
      </c>
      <c r="E167">
        <v>18</v>
      </c>
      <c r="F167">
        <v>46.49</v>
      </c>
      <c r="G167">
        <v>175.12</v>
      </c>
    </row>
    <row r="168" spans="4:7" x14ac:dyDescent="0.35">
      <c r="D168" s="1">
        <v>44728</v>
      </c>
      <c r="E168">
        <v>18</v>
      </c>
      <c r="F168">
        <v>42.24</v>
      </c>
      <c r="G168">
        <v>153.85</v>
      </c>
    </row>
    <row r="169" spans="4:7" x14ac:dyDescent="0.35">
      <c r="D169" s="1">
        <v>44729</v>
      </c>
      <c r="E169">
        <v>19</v>
      </c>
      <c r="F169">
        <v>40.65</v>
      </c>
      <c r="G169">
        <v>196.79</v>
      </c>
    </row>
    <row r="170" spans="4:7" x14ac:dyDescent="0.35">
      <c r="D170" s="1">
        <v>44730</v>
      </c>
      <c r="E170">
        <v>23</v>
      </c>
      <c r="F170">
        <v>52.1</v>
      </c>
      <c r="G170">
        <v>178.28</v>
      </c>
    </row>
    <row r="171" spans="4:7" x14ac:dyDescent="0.35">
      <c r="D171" s="1">
        <v>44731</v>
      </c>
      <c r="E171">
        <v>25</v>
      </c>
      <c r="F171">
        <v>58.89</v>
      </c>
      <c r="G171">
        <v>232.02</v>
      </c>
    </row>
    <row r="172" spans="4:7" x14ac:dyDescent="0.35">
      <c r="D172" s="1">
        <v>44732</v>
      </c>
      <c r="E172">
        <v>20</v>
      </c>
      <c r="F172">
        <v>50.63</v>
      </c>
      <c r="G172">
        <v>217.44</v>
      </c>
    </row>
    <row r="173" spans="4:7" x14ac:dyDescent="0.35">
      <c r="D173" s="1">
        <v>44733</v>
      </c>
      <c r="E173">
        <v>18</v>
      </c>
      <c r="F173">
        <v>51.77</v>
      </c>
      <c r="G173">
        <v>160.91</v>
      </c>
    </row>
    <row r="174" spans="4:7" x14ac:dyDescent="0.35">
      <c r="D174" s="1">
        <v>44734</v>
      </c>
      <c r="E174">
        <v>28</v>
      </c>
      <c r="F174">
        <v>42.95</v>
      </c>
      <c r="G174">
        <v>164.14</v>
      </c>
    </row>
    <row r="175" spans="4:7" x14ac:dyDescent="0.35">
      <c r="D175" s="1">
        <v>44735</v>
      </c>
      <c r="E175">
        <v>26</v>
      </c>
      <c r="F175">
        <v>51.61</v>
      </c>
      <c r="G175">
        <v>211.4</v>
      </c>
    </row>
    <row r="176" spans="4:7" x14ac:dyDescent="0.35">
      <c r="D176" s="1">
        <v>44736</v>
      </c>
      <c r="E176">
        <v>25</v>
      </c>
      <c r="F176">
        <v>45.53</v>
      </c>
      <c r="G176">
        <v>177.71</v>
      </c>
    </row>
    <row r="177" spans="4:7" x14ac:dyDescent="0.35">
      <c r="D177" s="1">
        <v>44737</v>
      </c>
      <c r="E177">
        <v>28</v>
      </c>
      <c r="F177">
        <v>50.57</v>
      </c>
      <c r="G177">
        <v>187.34</v>
      </c>
    </row>
    <row r="178" spans="4:7" x14ac:dyDescent="0.35">
      <c r="D178" s="1">
        <v>44738</v>
      </c>
      <c r="E178">
        <v>17</v>
      </c>
      <c r="F178">
        <v>51.31</v>
      </c>
      <c r="G178">
        <v>136.37</v>
      </c>
    </row>
    <row r="179" spans="4:7" x14ac:dyDescent="0.35">
      <c r="D179" s="1">
        <v>44739</v>
      </c>
      <c r="E179">
        <v>23</v>
      </c>
      <c r="F179">
        <v>51.72</v>
      </c>
      <c r="G179">
        <v>184.48</v>
      </c>
    </row>
    <row r="180" spans="4:7" x14ac:dyDescent="0.35">
      <c r="D180" s="1">
        <v>44740</v>
      </c>
      <c r="E180">
        <v>19</v>
      </c>
      <c r="F180">
        <v>57.76</v>
      </c>
      <c r="G180">
        <v>214.58</v>
      </c>
    </row>
    <row r="181" spans="4:7" x14ac:dyDescent="0.35">
      <c r="D181" s="1">
        <v>44741</v>
      </c>
      <c r="E181">
        <v>26</v>
      </c>
      <c r="F181">
        <v>53.81</v>
      </c>
      <c r="G181">
        <v>213.01</v>
      </c>
    </row>
    <row r="182" spans="4:7" x14ac:dyDescent="0.35">
      <c r="D182" s="1">
        <v>44742</v>
      </c>
      <c r="E182">
        <v>26</v>
      </c>
      <c r="F182">
        <v>51.08</v>
      </c>
      <c r="G182">
        <v>144.26</v>
      </c>
    </row>
    <row r="183" spans="4:7" x14ac:dyDescent="0.35">
      <c r="D183" s="1">
        <v>44743</v>
      </c>
      <c r="E183">
        <v>29</v>
      </c>
      <c r="F183">
        <v>46.01</v>
      </c>
      <c r="G183">
        <v>189.08</v>
      </c>
    </row>
    <row r="184" spans="4:7" x14ac:dyDescent="0.35">
      <c r="D184" s="1">
        <v>44744</v>
      </c>
      <c r="E184">
        <v>19</v>
      </c>
      <c r="F184">
        <v>40.78</v>
      </c>
      <c r="G184">
        <v>189.65</v>
      </c>
    </row>
    <row r="185" spans="4:7" x14ac:dyDescent="0.35">
      <c r="D185" s="1">
        <v>44745</v>
      </c>
      <c r="E185">
        <v>18</v>
      </c>
      <c r="F185">
        <v>47.35</v>
      </c>
      <c r="G185">
        <v>198.28</v>
      </c>
    </row>
    <row r="186" spans="4:7" x14ac:dyDescent="0.35">
      <c r="D186" s="1">
        <v>44746</v>
      </c>
      <c r="E186">
        <v>20</v>
      </c>
      <c r="F186">
        <v>55.61</v>
      </c>
      <c r="G186">
        <v>161.69999999999999</v>
      </c>
    </row>
    <row r="187" spans="4:7" x14ac:dyDescent="0.35">
      <c r="D187" s="1">
        <v>44747</v>
      </c>
      <c r="E187">
        <v>24</v>
      </c>
      <c r="F187">
        <v>54.19</v>
      </c>
      <c r="G187">
        <v>201.06</v>
      </c>
    </row>
    <row r="188" spans="4:7" x14ac:dyDescent="0.35">
      <c r="D188" s="1">
        <v>44748</v>
      </c>
      <c r="E188">
        <v>19</v>
      </c>
      <c r="F188">
        <v>55.46</v>
      </c>
      <c r="G188">
        <v>217.95</v>
      </c>
    </row>
    <row r="189" spans="4:7" x14ac:dyDescent="0.35">
      <c r="D189" s="1">
        <v>44749</v>
      </c>
      <c r="E189">
        <v>29</v>
      </c>
      <c r="F189">
        <v>50.76</v>
      </c>
      <c r="G189">
        <v>218.26</v>
      </c>
    </row>
    <row r="190" spans="4:7" x14ac:dyDescent="0.35">
      <c r="D190" s="1">
        <v>44750</v>
      </c>
      <c r="E190">
        <v>21</v>
      </c>
      <c r="F190">
        <v>55.18</v>
      </c>
      <c r="G190">
        <v>202.4</v>
      </c>
    </row>
    <row r="191" spans="4:7" x14ac:dyDescent="0.35">
      <c r="D191" s="1">
        <v>44751</v>
      </c>
      <c r="E191">
        <v>24</v>
      </c>
      <c r="F191">
        <v>58.97</v>
      </c>
      <c r="G191">
        <v>196.81</v>
      </c>
    </row>
    <row r="192" spans="4:7" x14ac:dyDescent="0.35">
      <c r="D192" s="1">
        <v>44752</v>
      </c>
      <c r="E192">
        <v>27</v>
      </c>
      <c r="F192">
        <v>41.81</v>
      </c>
      <c r="G192">
        <v>234.52</v>
      </c>
    </row>
    <row r="193" spans="4:7" x14ac:dyDescent="0.35">
      <c r="D193" s="1">
        <v>44753</v>
      </c>
      <c r="E193">
        <v>29</v>
      </c>
      <c r="F193">
        <v>58.32</v>
      </c>
      <c r="G193">
        <v>232.45</v>
      </c>
    </row>
    <row r="194" spans="4:7" x14ac:dyDescent="0.35">
      <c r="D194" s="1">
        <v>44754</v>
      </c>
      <c r="E194">
        <v>20</v>
      </c>
      <c r="F194">
        <v>56.78</v>
      </c>
      <c r="G194">
        <v>202.8</v>
      </c>
    </row>
    <row r="195" spans="4:7" x14ac:dyDescent="0.35">
      <c r="D195" s="1">
        <v>44755</v>
      </c>
      <c r="E195">
        <v>19</v>
      </c>
      <c r="F195">
        <v>53.44</v>
      </c>
      <c r="G195">
        <v>168.07</v>
      </c>
    </row>
    <row r="196" spans="4:7" x14ac:dyDescent="0.35">
      <c r="D196" s="1">
        <v>44756</v>
      </c>
      <c r="E196">
        <v>26</v>
      </c>
      <c r="F196">
        <v>47.2</v>
      </c>
      <c r="G196">
        <v>232.67</v>
      </c>
    </row>
    <row r="197" spans="4:7" x14ac:dyDescent="0.35">
      <c r="D197" s="1">
        <v>44757</v>
      </c>
      <c r="E197">
        <v>26</v>
      </c>
      <c r="F197">
        <v>45.82</v>
      </c>
      <c r="G197">
        <v>208.88</v>
      </c>
    </row>
    <row r="198" spans="4:7" x14ac:dyDescent="0.35">
      <c r="D198" s="1">
        <v>44758</v>
      </c>
      <c r="E198">
        <v>25</v>
      </c>
      <c r="F198">
        <v>53.37</v>
      </c>
      <c r="G198">
        <v>159.71</v>
      </c>
    </row>
    <row r="199" spans="4:7" x14ac:dyDescent="0.35">
      <c r="D199" s="1">
        <v>44759</v>
      </c>
      <c r="E199">
        <v>22</v>
      </c>
      <c r="F199">
        <v>54.73</v>
      </c>
      <c r="G199">
        <v>209.7</v>
      </c>
    </row>
    <row r="200" spans="4:7" x14ac:dyDescent="0.35">
      <c r="D200" s="1">
        <v>44760</v>
      </c>
      <c r="E200">
        <v>29</v>
      </c>
      <c r="F200">
        <v>59.15</v>
      </c>
      <c r="G200">
        <v>135.56</v>
      </c>
    </row>
    <row r="201" spans="4:7" x14ac:dyDescent="0.35">
      <c r="D201" s="1">
        <v>44761</v>
      </c>
      <c r="E201">
        <v>24</v>
      </c>
      <c r="F201">
        <v>57.38</v>
      </c>
      <c r="G201">
        <v>185.8</v>
      </c>
    </row>
    <row r="202" spans="4:7" x14ac:dyDescent="0.35">
      <c r="D202" s="1">
        <v>44762</v>
      </c>
      <c r="E202">
        <v>25</v>
      </c>
      <c r="F202">
        <v>41.02</v>
      </c>
      <c r="G202">
        <v>205.52</v>
      </c>
    </row>
    <row r="203" spans="4:7" x14ac:dyDescent="0.35">
      <c r="D203" s="1">
        <v>44763</v>
      </c>
      <c r="E203">
        <v>30</v>
      </c>
      <c r="F203">
        <v>44.76</v>
      </c>
      <c r="G203">
        <v>212.64</v>
      </c>
    </row>
    <row r="204" spans="4:7" x14ac:dyDescent="0.35">
      <c r="D204" s="1">
        <v>44764</v>
      </c>
      <c r="E204">
        <v>23</v>
      </c>
      <c r="F204">
        <v>51.83</v>
      </c>
      <c r="G204">
        <v>191.98</v>
      </c>
    </row>
    <row r="205" spans="4:7" x14ac:dyDescent="0.35">
      <c r="D205" s="1">
        <v>44765</v>
      </c>
      <c r="E205">
        <v>23</v>
      </c>
      <c r="F205">
        <v>40.39</v>
      </c>
      <c r="G205">
        <v>216.3</v>
      </c>
    </row>
    <row r="206" spans="4:7" x14ac:dyDescent="0.35">
      <c r="D206" s="1">
        <v>44766</v>
      </c>
      <c r="E206">
        <v>19</v>
      </c>
      <c r="F206">
        <v>52.28</v>
      </c>
      <c r="G206">
        <v>198.12</v>
      </c>
    </row>
    <row r="207" spans="4:7" x14ac:dyDescent="0.35">
      <c r="D207" s="1">
        <v>44767</v>
      </c>
      <c r="E207">
        <v>23</v>
      </c>
      <c r="F207">
        <v>47.04</v>
      </c>
      <c r="G207">
        <v>163.97</v>
      </c>
    </row>
    <row r="208" spans="4:7" x14ac:dyDescent="0.35">
      <c r="D208" s="1">
        <v>44768</v>
      </c>
      <c r="E208">
        <v>20</v>
      </c>
      <c r="F208">
        <v>48.35</v>
      </c>
      <c r="G208">
        <v>158.88</v>
      </c>
    </row>
    <row r="209" spans="4:7" x14ac:dyDescent="0.35">
      <c r="D209" s="1">
        <v>44769</v>
      </c>
      <c r="E209">
        <v>22</v>
      </c>
      <c r="F209">
        <v>55.66</v>
      </c>
      <c r="G209">
        <v>183.18</v>
      </c>
    </row>
    <row r="210" spans="4:7" x14ac:dyDescent="0.35">
      <c r="D210" s="1">
        <v>44770</v>
      </c>
      <c r="E210">
        <v>23</v>
      </c>
      <c r="F210">
        <v>40.32</v>
      </c>
      <c r="G210">
        <v>228.62</v>
      </c>
    </row>
    <row r="211" spans="4:7" x14ac:dyDescent="0.35">
      <c r="D211" s="1">
        <v>44771</v>
      </c>
      <c r="E211">
        <v>22</v>
      </c>
      <c r="F211">
        <v>49.8</v>
      </c>
      <c r="G211">
        <v>136.49</v>
      </c>
    </row>
    <row r="212" spans="4:7" x14ac:dyDescent="0.35">
      <c r="D212" s="1">
        <v>44772</v>
      </c>
      <c r="E212">
        <v>24</v>
      </c>
      <c r="F212">
        <v>56.32</v>
      </c>
      <c r="G212">
        <v>154.18</v>
      </c>
    </row>
    <row r="213" spans="4:7" x14ac:dyDescent="0.35">
      <c r="D213" s="1">
        <v>44773</v>
      </c>
      <c r="E213">
        <v>26</v>
      </c>
      <c r="F213">
        <v>40.68</v>
      </c>
      <c r="G213">
        <v>232.51</v>
      </c>
    </row>
    <row r="214" spans="4:7" x14ac:dyDescent="0.35">
      <c r="D214" s="1">
        <v>44774</v>
      </c>
      <c r="E214">
        <v>22</v>
      </c>
      <c r="F214">
        <v>50.82</v>
      </c>
      <c r="G214">
        <v>167.89</v>
      </c>
    </row>
    <row r="215" spans="4:7" x14ac:dyDescent="0.35">
      <c r="D215" s="1">
        <v>44775</v>
      </c>
      <c r="E215">
        <v>24</v>
      </c>
      <c r="F215">
        <v>54.04</v>
      </c>
      <c r="G215">
        <v>152.30000000000001</v>
      </c>
    </row>
    <row r="216" spans="4:7" x14ac:dyDescent="0.35">
      <c r="D216" s="1">
        <v>44776</v>
      </c>
      <c r="E216">
        <v>26</v>
      </c>
      <c r="F216">
        <v>41</v>
      </c>
      <c r="G216">
        <v>182.18</v>
      </c>
    </row>
    <row r="217" spans="4:7" x14ac:dyDescent="0.35">
      <c r="D217" s="1">
        <v>44777</v>
      </c>
      <c r="E217">
        <v>25</v>
      </c>
      <c r="F217">
        <v>42.06</v>
      </c>
      <c r="G217">
        <v>139.81</v>
      </c>
    </row>
    <row r="218" spans="4:7" x14ac:dyDescent="0.35">
      <c r="D218" s="1">
        <v>44778</v>
      </c>
      <c r="E218">
        <v>27</v>
      </c>
      <c r="F218">
        <v>57.11</v>
      </c>
      <c r="G218">
        <v>185.12</v>
      </c>
    </row>
    <row r="219" spans="4:7" x14ac:dyDescent="0.35">
      <c r="D219" s="1">
        <v>44779</v>
      </c>
      <c r="E219">
        <v>30</v>
      </c>
      <c r="F219">
        <v>54.78</v>
      </c>
      <c r="G219">
        <v>207.86</v>
      </c>
    </row>
    <row r="220" spans="4:7" x14ac:dyDescent="0.35">
      <c r="D220" s="1">
        <v>44780</v>
      </c>
      <c r="E220">
        <v>24</v>
      </c>
      <c r="F220">
        <v>40.94</v>
      </c>
      <c r="G220">
        <v>207.64</v>
      </c>
    </row>
    <row r="221" spans="4:7" x14ac:dyDescent="0.35">
      <c r="D221" s="1">
        <v>44781</v>
      </c>
      <c r="E221">
        <v>24</v>
      </c>
      <c r="F221">
        <v>50.23</v>
      </c>
      <c r="G221">
        <v>148.75</v>
      </c>
    </row>
    <row r="222" spans="4:7" x14ac:dyDescent="0.35">
      <c r="D222" s="1">
        <v>44782</v>
      </c>
      <c r="E222">
        <v>28</v>
      </c>
      <c r="F222">
        <v>53.16</v>
      </c>
      <c r="G222">
        <v>180.96</v>
      </c>
    </row>
    <row r="223" spans="4:7" x14ac:dyDescent="0.35">
      <c r="D223" s="1">
        <v>44783</v>
      </c>
      <c r="E223">
        <v>29</v>
      </c>
      <c r="F223">
        <v>50.84</v>
      </c>
      <c r="G223">
        <v>227.82</v>
      </c>
    </row>
    <row r="224" spans="4:7" x14ac:dyDescent="0.35">
      <c r="D224" s="1">
        <v>44784</v>
      </c>
      <c r="E224">
        <v>27</v>
      </c>
      <c r="F224">
        <v>52.27</v>
      </c>
      <c r="G224">
        <v>146.13</v>
      </c>
    </row>
    <row r="225" spans="4:7" x14ac:dyDescent="0.35">
      <c r="D225" s="1">
        <v>44785</v>
      </c>
      <c r="E225">
        <v>21</v>
      </c>
      <c r="F225">
        <v>42.18</v>
      </c>
      <c r="G225">
        <v>155.22999999999999</v>
      </c>
    </row>
    <row r="226" spans="4:7" x14ac:dyDescent="0.35">
      <c r="D226" s="1">
        <v>44786</v>
      </c>
      <c r="E226">
        <v>19</v>
      </c>
      <c r="F226">
        <v>40.130000000000003</v>
      </c>
      <c r="G226">
        <v>152.82</v>
      </c>
    </row>
    <row r="227" spans="4:7" x14ac:dyDescent="0.35">
      <c r="D227" s="1">
        <v>44787</v>
      </c>
      <c r="E227">
        <v>20</v>
      </c>
      <c r="F227">
        <v>50.78</v>
      </c>
      <c r="G227">
        <v>156.43</v>
      </c>
    </row>
    <row r="228" spans="4:7" x14ac:dyDescent="0.35">
      <c r="D228" s="1">
        <v>44788</v>
      </c>
      <c r="E228">
        <v>20</v>
      </c>
      <c r="F228">
        <v>41.4</v>
      </c>
      <c r="G228">
        <v>182.56</v>
      </c>
    </row>
    <row r="229" spans="4:7" x14ac:dyDescent="0.35">
      <c r="D229" s="1">
        <v>44789</v>
      </c>
      <c r="E229">
        <v>28</v>
      </c>
      <c r="F229">
        <v>44.44</v>
      </c>
      <c r="G229">
        <v>136.74</v>
      </c>
    </row>
    <row r="230" spans="4:7" x14ac:dyDescent="0.35">
      <c r="D230" s="1">
        <v>44790</v>
      </c>
      <c r="E230">
        <v>30</v>
      </c>
      <c r="F230">
        <v>44.11</v>
      </c>
      <c r="G230">
        <v>195.94</v>
      </c>
    </row>
    <row r="231" spans="4:7" x14ac:dyDescent="0.35">
      <c r="D231" s="1">
        <v>44791</v>
      </c>
      <c r="E231">
        <v>28</v>
      </c>
      <c r="F231">
        <v>46.13</v>
      </c>
      <c r="G231">
        <v>229.49</v>
      </c>
    </row>
    <row r="232" spans="4:7" x14ac:dyDescent="0.35">
      <c r="D232" s="1">
        <v>44792</v>
      </c>
      <c r="E232">
        <v>22</v>
      </c>
      <c r="F232">
        <v>48.3</v>
      </c>
      <c r="G232">
        <v>175.57</v>
      </c>
    </row>
    <row r="233" spans="4:7" x14ac:dyDescent="0.35">
      <c r="D233" s="1">
        <v>44793</v>
      </c>
      <c r="E233">
        <v>30</v>
      </c>
      <c r="F233">
        <v>55.71</v>
      </c>
      <c r="G233">
        <v>205.28</v>
      </c>
    </row>
    <row r="234" spans="4:7" x14ac:dyDescent="0.35">
      <c r="D234" s="1">
        <v>44794</v>
      </c>
      <c r="E234">
        <v>22</v>
      </c>
      <c r="F234">
        <v>46.03</v>
      </c>
      <c r="G234">
        <v>232.61</v>
      </c>
    </row>
    <row r="235" spans="4:7" x14ac:dyDescent="0.35">
      <c r="D235" s="1">
        <v>44795</v>
      </c>
      <c r="E235">
        <v>27</v>
      </c>
      <c r="F235">
        <v>40.97</v>
      </c>
      <c r="G235">
        <v>161.21</v>
      </c>
    </row>
    <row r="236" spans="4:7" x14ac:dyDescent="0.35">
      <c r="D236" s="1">
        <v>44796</v>
      </c>
      <c r="E236">
        <v>27</v>
      </c>
      <c r="F236">
        <v>46.58</v>
      </c>
      <c r="G236">
        <v>164.3</v>
      </c>
    </row>
    <row r="237" spans="4:7" x14ac:dyDescent="0.35">
      <c r="D237" s="1">
        <v>44797</v>
      </c>
      <c r="E237">
        <v>24</v>
      </c>
      <c r="F237">
        <v>58.14</v>
      </c>
      <c r="G237">
        <v>234.15</v>
      </c>
    </row>
    <row r="238" spans="4:7" x14ac:dyDescent="0.35">
      <c r="D238" s="1">
        <v>44798</v>
      </c>
      <c r="E238">
        <v>28</v>
      </c>
      <c r="F238">
        <v>51.98</v>
      </c>
      <c r="G238">
        <v>206.47</v>
      </c>
    </row>
    <row r="239" spans="4:7" x14ac:dyDescent="0.35">
      <c r="D239" s="1">
        <v>44799</v>
      </c>
      <c r="E239">
        <v>26</v>
      </c>
      <c r="F239">
        <v>51.95</v>
      </c>
      <c r="G239">
        <v>135.68</v>
      </c>
    </row>
    <row r="240" spans="4:7" x14ac:dyDescent="0.35">
      <c r="D240" s="1">
        <v>44800</v>
      </c>
      <c r="E240">
        <v>28</v>
      </c>
      <c r="F240">
        <v>46.29</v>
      </c>
      <c r="G240">
        <v>149.38</v>
      </c>
    </row>
    <row r="241" spans="4:7" x14ac:dyDescent="0.35">
      <c r="D241" s="1">
        <v>44801</v>
      </c>
      <c r="E241">
        <v>28</v>
      </c>
      <c r="F241">
        <v>41.53</v>
      </c>
      <c r="G241">
        <v>214.4</v>
      </c>
    </row>
    <row r="242" spans="4:7" x14ac:dyDescent="0.35">
      <c r="D242" s="1">
        <v>44802</v>
      </c>
      <c r="E242">
        <v>28</v>
      </c>
      <c r="F242">
        <v>48.77</v>
      </c>
      <c r="G242">
        <v>144.97999999999999</v>
      </c>
    </row>
    <row r="243" spans="4:7" x14ac:dyDescent="0.35">
      <c r="D243" s="1">
        <v>44803</v>
      </c>
      <c r="E243">
        <v>24</v>
      </c>
      <c r="F243">
        <v>40.619999999999997</v>
      </c>
      <c r="G243">
        <v>155.5</v>
      </c>
    </row>
    <row r="244" spans="4:7" x14ac:dyDescent="0.35">
      <c r="D244" s="1">
        <v>44804</v>
      </c>
      <c r="E244">
        <v>20</v>
      </c>
      <c r="F244">
        <v>48.53</v>
      </c>
      <c r="G244">
        <v>166.07</v>
      </c>
    </row>
    <row r="245" spans="4:7" x14ac:dyDescent="0.35">
      <c r="D245" s="1">
        <v>44805</v>
      </c>
      <c r="E245">
        <v>31</v>
      </c>
      <c r="F245">
        <v>55.18</v>
      </c>
      <c r="G245">
        <v>206.7</v>
      </c>
    </row>
    <row r="246" spans="4:7" x14ac:dyDescent="0.35">
      <c r="D246" s="1">
        <v>44806</v>
      </c>
      <c r="E246">
        <v>20</v>
      </c>
      <c r="F246">
        <v>43.64</v>
      </c>
      <c r="G246">
        <v>224.63</v>
      </c>
    </row>
    <row r="247" spans="4:7" x14ac:dyDescent="0.35">
      <c r="D247" s="1">
        <v>44807</v>
      </c>
      <c r="E247">
        <v>21</v>
      </c>
      <c r="F247">
        <v>57.52</v>
      </c>
      <c r="G247">
        <v>217.16</v>
      </c>
    </row>
    <row r="248" spans="4:7" x14ac:dyDescent="0.35">
      <c r="D248" s="1">
        <v>44808</v>
      </c>
      <c r="E248">
        <v>21</v>
      </c>
      <c r="F248">
        <v>41.74</v>
      </c>
      <c r="G248">
        <v>196.25</v>
      </c>
    </row>
    <row r="249" spans="4:7" x14ac:dyDescent="0.35">
      <c r="D249" s="1">
        <v>44809</v>
      </c>
      <c r="E249">
        <v>20</v>
      </c>
      <c r="F249">
        <v>57.15</v>
      </c>
      <c r="G249">
        <v>171.27</v>
      </c>
    </row>
    <row r="250" spans="4:7" x14ac:dyDescent="0.35">
      <c r="D250" s="1">
        <v>44810</v>
      </c>
      <c r="E250">
        <v>24</v>
      </c>
      <c r="F250">
        <v>52.1</v>
      </c>
      <c r="G250">
        <v>232.94</v>
      </c>
    </row>
    <row r="251" spans="4:7" x14ac:dyDescent="0.35">
      <c r="D251" s="1">
        <v>44811</v>
      </c>
      <c r="E251">
        <v>24</v>
      </c>
      <c r="F251">
        <v>56.55</v>
      </c>
      <c r="G251">
        <v>225.13</v>
      </c>
    </row>
    <row r="252" spans="4:7" x14ac:dyDescent="0.35">
      <c r="D252" s="1">
        <v>44812</v>
      </c>
      <c r="E252">
        <v>29</v>
      </c>
      <c r="F252">
        <v>45.43</v>
      </c>
      <c r="G252">
        <v>198.01</v>
      </c>
    </row>
    <row r="253" spans="4:7" x14ac:dyDescent="0.35">
      <c r="D253" s="1">
        <v>44813</v>
      </c>
      <c r="E253">
        <v>24</v>
      </c>
      <c r="F253">
        <v>42.62</v>
      </c>
      <c r="G253">
        <v>151.80000000000001</v>
      </c>
    </row>
    <row r="254" spans="4:7" x14ac:dyDescent="0.35">
      <c r="D254" s="1">
        <v>44814</v>
      </c>
      <c r="E254">
        <v>20</v>
      </c>
      <c r="F254">
        <v>43.35</v>
      </c>
      <c r="G254">
        <v>201.95</v>
      </c>
    </row>
    <row r="255" spans="4:7" x14ac:dyDescent="0.35">
      <c r="D255" s="1">
        <v>44815</v>
      </c>
      <c r="E255">
        <v>26</v>
      </c>
      <c r="F255">
        <v>46.74</v>
      </c>
      <c r="G255">
        <v>212.63</v>
      </c>
    </row>
    <row r="256" spans="4:7" x14ac:dyDescent="0.35">
      <c r="D256" s="1">
        <v>44816</v>
      </c>
      <c r="E256">
        <v>21</v>
      </c>
      <c r="F256">
        <v>46.76</v>
      </c>
      <c r="G256">
        <v>219.06</v>
      </c>
    </row>
    <row r="257" spans="4:7" x14ac:dyDescent="0.35">
      <c r="D257" s="1">
        <v>44817</v>
      </c>
      <c r="E257">
        <v>21</v>
      </c>
      <c r="F257">
        <v>47.24</v>
      </c>
      <c r="G257">
        <v>197.44</v>
      </c>
    </row>
    <row r="258" spans="4:7" x14ac:dyDescent="0.35">
      <c r="D258" s="1">
        <v>44818</v>
      </c>
      <c r="E258">
        <v>22</v>
      </c>
      <c r="F258">
        <v>50.51</v>
      </c>
      <c r="G258">
        <v>197.88</v>
      </c>
    </row>
    <row r="259" spans="4:7" x14ac:dyDescent="0.35">
      <c r="D259" s="1">
        <v>44819</v>
      </c>
      <c r="E259">
        <v>22</v>
      </c>
      <c r="F259">
        <v>45.98</v>
      </c>
      <c r="G259">
        <v>228.48</v>
      </c>
    </row>
    <row r="260" spans="4:7" x14ac:dyDescent="0.35">
      <c r="D260" s="1">
        <v>44820</v>
      </c>
      <c r="E260">
        <v>25</v>
      </c>
      <c r="F260">
        <v>52.17</v>
      </c>
      <c r="G260">
        <v>218.3</v>
      </c>
    </row>
    <row r="261" spans="4:7" x14ac:dyDescent="0.35">
      <c r="D261" s="1">
        <v>44821</v>
      </c>
      <c r="E261">
        <v>25</v>
      </c>
      <c r="F261">
        <v>49.25</v>
      </c>
      <c r="G261">
        <v>217.35</v>
      </c>
    </row>
    <row r="262" spans="4:7" x14ac:dyDescent="0.35">
      <c r="D262" s="1">
        <v>44822</v>
      </c>
      <c r="E262">
        <v>23</v>
      </c>
      <c r="F262">
        <v>57.87</v>
      </c>
      <c r="G262">
        <v>206.06</v>
      </c>
    </row>
    <row r="263" spans="4:7" x14ac:dyDescent="0.35">
      <c r="D263" s="1">
        <v>44823</v>
      </c>
      <c r="E263">
        <v>21</v>
      </c>
      <c r="F263">
        <v>45.93</v>
      </c>
      <c r="G263">
        <v>223.51</v>
      </c>
    </row>
    <row r="264" spans="4:7" x14ac:dyDescent="0.35">
      <c r="D264" s="1">
        <v>44824</v>
      </c>
      <c r="E264">
        <v>27</v>
      </c>
      <c r="F264">
        <v>42.08</v>
      </c>
      <c r="G264">
        <v>167.67</v>
      </c>
    </row>
    <row r="265" spans="4:7" x14ac:dyDescent="0.35">
      <c r="D265" s="1">
        <v>44825</v>
      </c>
      <c r="E265">
        <v>21</v>
      </c>
      <c r="F265">
        <v>56.01</v>
      </c>
      <c r="G265">
        <v>195.78</v>
      </c>
    </row>
    <row r="266" spans="4:7" x14ac:dyDescent="0.35">
      <c r="D266" s="1">
        <v>44826</v>
      </c>
      <c r="E266">
        <v>30</v>
      </c>
      <c r="F266">
        <v>55.68</v>
      </c>
      <c r="G266">
        <v>197.73</v>
      </c>
    </row>
    <row r="267" spans="4:7" x14ac:dyDescent="0.35">
      <c r="D267" s="1">
        <v>44827</v>
      </c>
      <c r="E267">
        <v>21</v>
      </c>
      <c r="F267">
        <v>43.62</v>
      </c>
      <c r="G267">
        <v>185.42</v>
      </c>
    </row>
    <row r="268" spans="4:7" x14ac:dyDescent="0.35">
      <c r="D268" s="1">
        <v>44828</v>
      </c>
      <c r="E268">
        <v>23</v>
      </c>
      <c r="F268">
        <v>42.56</v>
      </c>
      <c r="G268">
        <v>159.03</v>
      </c>
    </row>
    <row r="269" spans="4:7" x14ac:dyDescent="0.35">
      <c r="D269" s="1">
        <v>44829</v>
      </c>
      <c r="E269">
        <v>22</v>
      </c>
      <c r="F269">
        <v>54.77</v>
      </c>
      <c r="G269">
        <v>159.97999999999999</v>
      </c>
    </row>
    <row r="270" spans="4:7" x14ac:dyDescent="0.35">
      <c r="D270" s="1">
        <v>44830</v>
      </c>
      <c r="E270">
        <v>30</v>
      </c>
      <c r="F270">
        <v>51.15</v>
      </c>
      <c r="G270">
        <v>231.43</v>
      </c>
    </row>
    <row r="271" spans="4:7" x14ac:dyDescent="0.35">
      <c r="D271" s="1">
        <v>44831</v>
      </c>
      <c r="E271">
        <v>21</v>
      </c>
      <c r="F271">
        <v>46.73</v>
      </c>
      <c r="G271">
        <v>205.46</v>
      </c>
    </row>
    <row r="272" spans="4:7" x14ac:dyDescent="0.35">
      <c r="D272" s="1">
        <v>44832</v>
      </c>
      <c r="E272">
        <v>31</v>
      </c>
      <c r="F272">
        <v>57.18</v>
      </c>
      <c r="G272">
        <v>198.93</v>
      </c>
    </row>
    <row r="273" spans="4:7" x14ac:dyDescent="0.35">
      <c r="D273" s="1">
        <v>44833</v>
      </c>
      <c r="E273">
        <v>25</v>
      </c>
      <c r="F273">
        <v>44.19</v>
      </c>
      <c r="G273">
        <v>178.63</v>
      </c>
    </row>
    <row r="274" spans="4:7" x14ac:dyDescent="0.35">
      <c r="D274" s="1">
        <v>44834</v>
      </c>
      <c r="E274">
        <v>23</v>
      </c>
      <c r="F274">
        <v>42.19</v>
      </c>
      <c r="G274">
        <v>146.5</v>
      </c>
    </row>
    <row r="275" spans="4:7" x14ac:dyDescent="0.35">
      <c r="D275" s="1">
        <v>44835</v>
      </c>
      <c r="E275">
        <v>31</v>
      </c>
      <c r="F275">
        <v>50.63</v>
      </c>
      <c r="G275">
        <v>170.09</v>
      </c>
    </row>
    <row r="276" spans="4:7" x14ac:dyDescent="0.35">
      <c r="D276" s="1">
        <v>44836</v>
      </c>
      <c r="E276">
        <v>32</v>
      </c>
      <c r="F276">
        <v>56.68</v>
      </c>
      <c r="G276">
        <v>140.57</v>
      </c>
    </row>
    <row r="277" spans="4:7" x14ac:dyDescent="0.35">
      <c r="D277" s="1">
        <v>44837</v>
      </c>
      <c r="E277">
        <v>24</v>
      </c>
      <c r="F277">
        <v>56.98</v>
      </c>
      <c r="G277">
        <v>193.29</v>
      </c>
    </row>
    <row r="278" spans="4:7" x14ac:dyDescent="0.35">
      <c r="D278" s="1">
        <v>44838</v>
      </c>
      <c r="E278">
        <v>29</v>
      </c>
      <c r="F278">
        <v>47.51</v>
      </c>
      <c r="G278">
        <v>227.85</v>
      </c>
    </row>
    <row r="279" spans="4:7" x14ac:dyDescent="0.35">
      <c r="D279" s="1">
        <v>44839</v>
      </c>
      <c r="E279">
        <v>27</v>
      </c>
      <c r="F279">
        <v>44.62</v>
      </c>
      <c r="G279">
        <v>191.75</v>
      </c>
    </row>
    <row r="280" spans="4:7" x14ac:dyDescent="0.35">
      <c r="D280" s="1">
        <v>44840</v>
      </c>
      <c r="E280">
        <v>31</v>
      </c>
      <c r="F280">
        <v>40.5</v>
      </c>
      <c r="G280">
        <v>137.41999999999999</v>
      </c>
    </row>
    <row r="281" spans="4:7" x14ac:dyDescent="0.35">
      <c r="D281" s="1">
        <v>44841</v>
      </c>
      <c r="E281">
        <v>24</v>
      </c>
      <c r="F281">
        <v>50.09</v>
      </c>
      <c r="G281">
        <v>192.07</v>
      </c>
    </row>
    <row r="282" spans="4:7" x14ac:dyDescent="0.35">
      <c r="D282" s="1">
        <v>44842</v>
      </c>
      <c r="E282">
        <v>23</v>
      </c>
      <c r="F282">
        <v>56.4</v>
      </c>
      <c r="G282">
        <v>185.86</v>
      </c>
    </row>
    <row r="283" spans="4:7" x14ac:dyDescent="0.35">
      <c r="D283" s="1">
        <v>44843</v>
      </c>
      <c r="E283">
        <v>22</v>
      </c>
      <c r="F283">
        <v>58.18</v>
      </c>
      <c r="G283">
        <v>164.83</v>
      </c>
    </row>
    <row r="284" spans="4:7" x14ac:dyDescent="0.35">
      <c r="D284" s="1">
        <v>44844</v>
      </c>
      <c r="E284">
        <v>23</v>
      </c>
      <c r="F284">
        <v>41.19</v>
      </c>
      <c r="G284">
        <v>169.96</v>
      </c>
    </row>
    <row r="285" spans="4:7" x14ac:dyDescent="0.35">
      <c r="D285" s="1">
        <v>44845</v>
      </c>
      <c r="E285">
        <v>32</v>
      </c>
      <c r="F285">
        <v>52.66</v>
      </c>
      <c r="G285">
        <v>139.19999999999999</v>
      </c>
    </row>
    <row r="286" spans="4:7" x14ac:dyDescent="0.35">
      <c r="D286" s="1">
        <v>44846</v>
      </c>
      <c r="E286">
        <v>22</v>
      </c>
      <c r="F286">
        <v>52.1</v>
      </c>
      <c r="G286">
        <v>226.99</v>
      </c>
    </row>
    <row r="287" spans="4:7" x14ac:dyDescent="0.35">
      <c r="D287" s="1">
        <v>44847</v>
      </c>
      <c r="E287">
        <v>25</v>
      </c>
      <c r="F287">
        <v>57.15</v>
      </c>
      <c r="G287">
        <v>167.46</v>
      </c>
    </row>
    <row r="288" spans="4:7" x14ac:dyDescent="0.35">
      <c r="D288" s="1">
        <v>44848</v>
      </c>
      <c r="E288">
        <v>26</v>
      </c>
      <c r="F288">
        <v>45</v>
      </c>
      <c r="G288">
        <v>191.83</v>
      </c>
    </row>
    <row r="289" spans="4:7" x14ac:dyDescent="0.35">
      <c r="D289" s="1">
        <v>44849</v>
      </c>
      <c r="E289">
        <v>27</v>
      </c>
      <c r="F289">
        <v>51.53</v>
      </c>
      <c r="G289">
        <v>230.4</v>
      </c>
    </row>
    <row r="290" spans="4:7" x14ac:dyDescent="0.35">
      <c r="D290" s="1">
        <v>44850</v>
      </c>
      <c r="E290">
        <v>28</v>
      </c>
      <c r="F290">
        <v>56.82</v>
      </c>
      <c r="G290">
        <v>173.72</v>
      </c>
    </row>
    <row r="291" spans="4:7" x14ac:dyDescent="0.35">
      <c r="D291" s="1">
        <v>44851</v>
      </c>
      <c r="E291">
        <v>29</v>
      </c>
      <c r="F291">
        <v>46.3</v>
      </c>
      <c r="G291">
        <v>158.68</v>
      </c>
    </row>
    <row r="292" spans="4:7" x14ac:dyDescent="0.35">
      <c r="D292" s="1">
        <v>44852</v>
      </c>
      <c r="E292">
        <v>30</v>
      </c>
      <c r="F292">
        <v>58.07</v>
      </c>
      <c r="G292">
        <v>153.59</v>
      </c>
    </row>
    <row r="293" spans="4:7" x14ac:dyDescent="0.35">
      <c r="D293" s="1">
        <v>44853</v>
      </c>
      <c r="E293">
        <v>23</v>
      </c>
      <c r="F293">
        <v>45.67</v>
      </c>
      <c r="G293">
        <v>175.31</v>
      </c>
    </row>
    <row r="294" spans="4:7" x14ac:dyDescent="0.35">
      <c r="D294" s="1">
        <v>44854</v>
      </c>
      <c r="E294">
        <v>32</v>
      </c>
      <c r="F294">
        <v>43.92</v>
      </c>
      <c r="G294">
        <v>168.52</v>
      </c>
    </row>
    <row r="295" spans="4:7" x14ac:dyDescent="0.35">
      <c r="D295" s="1">
        <v>44855</v>
      </c>
      <c r="E295">
        <v>27</v>
      </c>
      <c r="F295">
        <v>46.26</v>
      </c>
      <c r="G295">
        <v>154.49</v>
      </c>
    </row>
    <row r="296" spans="4:7" x14ac:dyDescent="0.35">
      <c r="D296" s="1">
        <v>44856</v>
      </c>
      <c r="E296">
        <v>31</v>
      </c>
      <c r="F296">
        <v>52.94</v>
      </c>
      <c r="G296">
        <v>139.88</v>
      </c>
    </row>
    <row r="297" spans="4:7" x14ac:dyDescent="0.35">
      <c r="D297" s="1">
        <v>44857</v>
      </c>
      <c r="E297">
        <v>31</v>
      </c>
      <c r="F297">
        <v>50.09</v>
      </c>
      <c r="G297">
        <v>225.4</v>
      </c>
    </row>
    <row r="298" spans="4:7" x14ac:dyDescent="0.35">
      <c r="D298" s="1">
        <v>44858</v>
      </c>
      <c r="E298">
        <v>22</v>
      </c>
      <c r="F298">
        <v>48.57</v>
      </c>
      <c r="G298">
        <v>193.29</v>
      </c>
    </row>
    <row r="299" spans="4:7" x14ac:dyDescent="0.35">
      <c r="D299" s="1">
        <v>44859</v>
      </c>
      <c r="E299">
        <v>21</v>
      </c>
      <c r="F299">
        <v>47.77</v>
      </c>
      <c r="G299">
        <v>230.05</v>
      </c>
    </row>
    <row r="300" spans="4:7" x14ac:dyDescent="0.35">
      <c r="D300" s="1">
        <v>44860</v>
      </c>
      <c r="E300">
        <v>30</v>
      </c>
      <c r="F300">
        <v>54.97</v>
      </c>
      <c r="G300">
        <v>204.19</v>
      </c>
    </row>
    <row r="301" spans="4:7" x14ac:dyDescent="0.35">
      <c r="D301" s="1">
        <v>44861</v>
      </c>
      <c r="E301">
        <v>31</v>
      </c>
      <c r="F301">
        <v>42.18</v>
      </c>
      <c r="G301">
        <v>194.75</v>
      </c>
    </row>
    <row r="302" spans="4:7" x14ac:dyDescent="0.35">
      <c r="D302" s="1">
        <v>44862</v>
      </c>
      <c r="E302">
        <v>29</v>
      </c>
      <c r="F302">
        <v>47.61</v>
      </c>
      <c r="G302">
        <v>142.27000000000001</v>
      </c>
    </row>
    <row r="303" spans="4:7" x14ac:dyDescent="0.35">
      <c r="D303" s="1">
        <v>44863</v>
      </c>
      <c r="E303">
        <v>23</v>
      </c>
      <c r="F303">
        <v>39.03</v>
      </c>
      <c r="G303">
        <v>172.44</v>
      </c>
    </row>
    <row r="304" spans="4:7" x14ac:dyDescent="0.35">
      <c r="D304" s="1">
        <v>44864</v>
      </c>
      <c r="E304">
        <v>29</v>
      </c>
      <c r="F304">
        <v>45.19</v>
      </c>
      <c r="G304">
        <v>199.43</v>
      </c>
    </row>
    <row r="305" spans="4:7" x14ac:dyDescent="0.35">
      <c r="D305" s="1">
        <v>44865</v>
      </c>
      <c r="E305">
        <v>32</v>
      </c>
      <c r="F305">
        <v>52.82</v>
      </c>
      <c r="G305">
        <v>200.56</v>
      </c>
    </row>
    <row r="306" spans="4:7" x14ac:dyDescent="0.35">
      <c r="D306" s="1">
        <v>44866</v>
      </c>
      <c r="E306">
        <v>31</v>
      </c>
      <c r="F306">
        <v>57.89</v>
      </c>
      <c r="G306">
        <v>156.69</v>
      </c>
    </row>
    <row r="307" spans="4:7" x14ac:dyDescent="0.35">
      <c r="D307" s="1">
        <v>44867</v>
      </c>
      <c r="E307">
        <v>23</v>
      </c>
      <c r="F307">
        <v>46.78</v>
      </c>
      <c r="G307">
        <v>159.84</v>
      </c>
    </row>
    <row r="308" spans="4:7" x14ac:dyDescent="0.35">
      <c r="D308" s="1">
        <v>44868</v>
      </c>
      <c r="E308">
        <v>28</v>
      </c>
      <c r="F308">
        <v>56.13</v>
      </c>
      <c r="G308">
        <v>213.75</v>
      </c>
    </row>
    <row r="309" spans="4:7" x14ac:dyDescent="0.35">
      <c r="D309" s="1">
        <v>44869</v>
      </c>
      <c r="E309">
        <v>26</v>
      </c>
      <c r="F309">
        <v>45.98</v>
      </c>
      <c r="G309">
        <v>213.27</v>
      </c>
    </row>
    <row r="310" spans="4:7" x14ac:dyDescent="0.35">
      <c r="D310" s="1">
        <v>44870</v>
      </c>
      <c r="E310">
        <v>24</v>
      </c>
      <c r="F310">
        <v>52.86</v>
      </c>
      <c r="G310">
        <v>218.5</v>
      </c>
    </row>
    <row r="311" spans="4:7" x14ac:dyDescent="0.35">
      <c r="D311" s="1">
        <v>44871</v>
      </c>
      <c r="E311">
        <v>32</v>
      </c>
      <c r="F311">
        <v>57.37</v>
      </c>
      <c r="G311">
        <v>148.88</v>
      </c>
    </row>
    <row r="312" spans="4:7" x14ac:dyDescent="0.35">
      <c r="D312" s="1">
        <v>44872</v>
      </c>
      <c r="E312">
        <v>30</v>
      </c>
      <c r="F312">
        <v>57.33</v>
      </c>
      <c r="G312">
        <v>141.04</v>
      </c>
    </row>
    <row r="313" spans="4:7" x14ac:dyDescent="0.35">
      <c r="D313" s="1">
        <v>44873</v>
      </c>
      <c r="E313">
        <v>23</v>
      </c>
      <c r="F313">
        <v>44.44</v>
      </c>
      <c r="G313">
        <v>173.17</v>
      </c>
    </row>
    <row r="314" spans="4:7" x14ac:dyDescent="0.35">
      <c r="D314" s="1">
        <v>44874</v>
      </c>
      <c r="E314">
        <v>29</v>
      </c>
      <c r="F314">
        <v>42.16</v>
      </c>
      <c r="G314">
        <v>179.16</v>
      </c>
    </row>
    <row r="315" spans="4:7" x14ac:dyDescent="0.35">
      <c r="D315" s="1">
        <v>44875</v>
      </c>
      <c r="E315">
        <v>29</v>
      </c>
      <c r="F315">
        <v>49.09</v>
      </c>
      <c r="G315">
        <v>147.08000000000001</v>
      </c>
    </row>
    <row r="316" spans="4:7" x14ac:dyDescent="0.35">
      <c r="D316" s="1">
        <v>44876</v>
      </c>
      <c r="E316">
        <v>29</v>
      </c>
      <c r="F316">
        <v>57.8</v>
      </c>
      <c r="G316">
        <v>208.2</v>
      </c>
    </row>
    <row r="317" spans="4:7" x14ac:dyDescent="0.35">
      <c r="D317" s="1">
        <v>44877</v>
      </c>
      <c r="E317">
        <v>27</v>
      </c>
      <c r="F317">
        <v>39.82</v>
      </c>
      <c r="G317">
        <v>215.91</v>
      </c>
    </row>
    <row r="318" spans="4:7" x14ac:dyDescent="0.35">
      <c r="D318" s="1">
        <v>44878</v>
      </c>
      <c r="E318">
        <v>24</v>
      </c>
      <c r="F318">
        <v>44.96</v>
      </c>
      <c r="G318">
        <v>224.64</v>
      </c>
    </row>
    <row r="319" spans="4:7" x14ac:dyDescent="0.35">
      <c r="D319" s="1">
        <v>44879</v>
      </c>
      <c r="E319">
        <v>25</v>
      </c>
      <c r="F319">
        <v>44.54</v>
      </c>
      <c r="G319">
        <v>193.41</v>
      </c>
    </row>
    <row r="320" spans="4:7" x14ac:dyDescent="0.35">
      <c r="D320" s="1">
        <v>44880</v>
      </c>
      <c r="E320">
        <v>24</v>
      </c>
      <c r="F320">
        <v>51.06</v>
      </c>
      <c r="G320">
        <v>231.19</v>
      </c>
    </row>
    <row r="321" spans="4:7" x14ac:dyDescent="0.35">
      <c r="D321" s="1">
        <v>44881</v>
      </c>
      <c r="E321">
        <v>24</v>
      </c>
      <c r="F321">
        <v>48.72</v>
      </c>
      <c r="G321">
        <v>152.94999999999999</v>
      </c>
    </row>
    <row r="322" spans="4:7" x14ac:dyDescent="0.35">
      <c r="D322" s="1">
        <v>44882</v>
      </c>
      <c r="E322">
        <v>32</v>
      </c>
      <c r="F322">
        <v>58.58</v>
      </c>
      <c r="G322">
        <v>167.68</v>
      </c>
    </row>
    <row r="323" spans="4:7" x14ac:dyDescent="0.35">
      <c r="D323" s="1">
        <v>44883</v>
      </c>
      <c r="E323">
        <v>30</v>
      </c>
      <c r="F323">
        <v>54.58</v>
      </c>
      <c r="G323">
        <v>183.81</v>
      </c>
    </row>
    <row r="324" spans="4:7" x14ac:dyDescent="0.35">
      <c r="D324" s="1">
        <v>44884</v>
      </c>
      <c r="E324">
        <v>23</v>
      </c>
      <c r="F324">
        <v>39.659999999999997</v>
      </c>
      <c r="G324">
        <v>233.73</v>
      </c>
    </row>
    <row r="325" spans="4:7" x14ac:dyDescent="0.35">
      <c r="D325" s="1">
        <v>44885</v>
      </c>
      <c r="E325">
        <v>23</v>
      </c>
      <c r="F325">
        <v>52.87</v>
      </c>
      <c r="G325">
        <v>184.6</v>
      </c>
    </row>
    <row r="326" spans="4:7" x14ac:dyDescent="0.35">
      <c r="D326" s="1">
        <v>44886</v>
      </c>
      <c r="E326">
        <v>33</v>
      </c>
      <c r="F326">
        <v>44.1</v>
      </c>
      <c r="G326">
        <v>173.15</v>
      </c>
    </row>
    <row r="327" spans="4:7" x14ac:dyDescent="0.35">
      <c r="D327" s="1">
        <v>44887</v>
      </c>
      <c r="E327">
        <v>31</v>
      </c>
      <c r="F327">
        <v>55.44</v>
      </c>
      <c r="G327">
        <v>192.75</v>
      </c>
    </row>
    <row r="328" spans="4:7" x14ac:dyDescent="0.35">
      <c r="D328" s="1">
        <v>44888</v>
      </c>
      <c r="E328">
        <v>26</v>
      </c>
      <c r="F328">
        <v>51.21</v>
      </c>
      <c r="G328">
        <v>218.54</v>
      </c>
    </row>
    <row r="329" spans="4:7" x14ac:dyDescent="0.35">
      <c r="D329" s="1">
        <v>44889</v>
      </c>
      <c r="E329">
        <v>23</v>
      </c>
      <c r="F329">
        <v>40.770000000000003</v>
      </c>
      <c r="G329">
        <v>180.93</v>
      </c>
    </row>
    <row r="330" spans="4:7" x14ac:dyDescent="0.35">
      <c r="D330" s="1">
        <v>44890</v>
      </c>
      <c r="E330">
        <v>34</v>
      </c>
      <c r="F330">
        <v>58.13</v>
      </c>
      <c r="G330">
        <v>182.48</v>
      </c>
    </row>
    <row r="331" spans="4:7" x14ac:dyDescent="0.35">
      <c r="D331" s="1">
        <v>44891</v>
      </c>
      <c r="E331">
        <v>23</v>
      </c>
      <c r="F331">
        <v>53.2</v>
      </c>
      <c r="G331">
        <v>185.74</v>
      </c>
    </row>
    <row r="332" spans="4:7" x14ac:dyDescent="0.35">
      <c r="D332" s="1">
        <v>44892</v>
      </c>
      <c r="E332">
        <v>23</v>
      </c>
      <c r="F332">
        <v>48.67</v>
      </c>
      <c r="G332">
        <v>224.8</v>
      </c>
    </row>
    <row r="333" spans="4:7" x14ac:dyDescent="0.35">
      <c r="D333" s="1">
        <v>44893</v>
      </c>
      <c r="E333">
        <v>27</v>
      </c>
      <c r="F333">
        <v>54.78</v>
      </c>
      <c r="G333">
        <v>163.74</v>
      </c>
    </row>
    <row r="334" spans="4:7" x14ac:dyDescent="0.35">
      <c r="D334" s="1">
        <v>44894</v>
      </c>
      <c r="E334">
        <v>32</v>
      </c>
      <c r="F334">
        <v>39.89</v>
      </c>
      <c r="G334">
        <v>175.93</v>
      </c>
    </row>
    <row r="335" spans="4:7" x14ac:dyDescent="0.35">
      <c r="D335" s="1">
        <v>44895</v>
      </c>
      <c r="E335">
        <v>30</v>
      </c>
      <c r="F335">
        <v>57.89</v>
      </c>
      <c r="G335">
        <v>229.69</v>
      </c>
    </row>
    <row r="336" spans="4:7" x14ac:dyDescent="0.35">
      <c r="D336" s="1">
        <v>44896</v>
      </c>
      <c r="E336">
        <v>30</v>
      </c>
      <c r="F336">
        <v>57.29</v>
      </c>
      <c r="G336">
        <v>150.06</v>
      </c>
    </row>
    <row r="337" spans="4:7" x14ac:dyDescent="0.35">
      <c r="D337" s="1">
        <v>44897</v>
      </c>
      <c r="E337">
        <v>31</v>
      </c>
      <c r="F337">
        <v>39.369999999999997</v>
      </c>
      <c r="G337">
        <v>147.5</v>
      </c>
    </row>
    <row r="338" spans="4:7" x14ac:dyDescent="0.35">
      <c r="D338" s="1">
        <v>44898</v>
      </c>
      <c r="E338">
        <v>30</v>
      </c>
      <c r="F338">
        <v>38.58</v>
      </c>
      <c r="G338">
        <v>186.53</v>
      </c>
    </row>
    <row r="339" spans="4:7" x14ac:dyDescent="0.35">
      <c r="D339" s="1">
        <v>44899</v>
      </c>
      <c r="E339">
        <v>26</v>
      </c>
      <c r="F339">
        <v>46.5</v>
      </c>
      <c r="G339">
        <v>166.55</v>
      </c>
    </row>
    <row r="340" spans="4:7" x14ac:dyDescent="0.35">
      <c r="D340" s="1">
        <v>44900</v>
      </c>
      <c r="E340">
        <v>25</v>
      </c>
      <c r="F340">
        <v>48.45</v>
      </c>
      <c r="G340">
        <v>153.72</v>
      </c>
    </row>
    <row r="341" spans="4:7" x14ac:dyDescent="0.35">
      <c r="D341" s="1">
        <v>44901</v>
      </c>
      <c r="E341">
        <v>33</v>
      </c>
      <c r="F341">
        <v>39.94</v>
      </c>
      <c r="G341">
        <v>224.73</v>
      </c>
    </row>
    <row r="342" spans="4:7" x14ac:dyDescent="0.35">
      <c r="D342" s="1">
        <v>44902</v>
      </c>
      <c r="E342">
        <v>29</v>
      </c>
      <c r="F342">
        <v>44.37</v>
      </c>
      <c r="G342">
        <v>215.15</v>
      </c>
    </row>
    <row r="343" spans="4:7" x14ac:dyDescent="0.35">
      <c r="D343" s="1">
        <v>44903</v>
      </c>
      <c r="E343">
        <v>31</v>
      </c>
      <c r="F343">
        <v>51.24</v>
      </c>
      <c r="G343">
        <v>231.21</v>
      </c>
    </row>
    <row r="344" spans="4:7" x14ac:dyDescent="0.35">
      <c r="D344" s="1">
        <v>44904</v>
      </c>
      <c r="E344">
        <v>26</v>
      </c>
      <c r="F344">
        <v>42.09</v>
      </c>
      <c r="G344">
        <v>144.57</v>
      </c>
    </row>
    <row r="345" spans="4:7" x14ac:dyDescent="0.35">
      <c r="D345" s="1">
        <v>44905</v>
      </c>
      <c r="E345">
        <v>33</v>
      </c>
      <c r="F345">
        <v>55.45</v>
      </c>
      <c r="G345">
        <v>152.44999999999999</v>
      </c>
    </row>
    <row r="346" spans="4:7" x14ac:dyDescent="0.35">
      <c r="D346" s="1">
        <v>44906</v>
      </c>
      <c r="E346">
        <v>31</v>
      </c>
      <c r="F346">
        <v>39.18</v>
      </c>
      <c r="G346">
        <v>164.85</v>
      </c>
    </row>
    <row r="347" spans="4:7" x14ac:dyDescent="0.35">
      <c r="D347" s="1">
        <v>44907</v>
      </c>
      <c r="E347">
        <v>24</v>
      </c>
      <c r="F347">
        <v>40.6</v>
      </c>
      <c r="G347">
        <v>154</v>
      </c>
    </row>
    <row r="348" spans="4:7" x14ac:dyDescent="0.35">
      <c r="D348" s="1">
        <v>44908</v>
      </c>
      <c r="E348">
        <v>33</v>
      </c>
      <c r="F348">
        <v>53.33</v>
      </c>
      <c r="G348">
        <v>156.83000000000001</v>
      </c>
    </row>
    <row r="349" spans="4:7" x14ac:dyDescent="0.35">
      <c r="D349" s="1">
        <v>44909</v>
      </c>
      <c r="E349">
        <v>32</v>
      </c>
      <c r="F349">
        <v>57.48</v>
      </c>
      <c r="G349">
        <v>157.35</v>
      </c>
    </row>
    <row r="350" spans="4:7" x14ac:dyDescent="0.35">
      <c r="D350" s="1">
        <v>44910</v>
      </c>
      <c r="E350">
        <v>27</v>
      </c>
      <c r="F350">
        <v>51.67</v>
      </c>
      <c r="G350">
        <v>186.78</v>
      </c>
    </row>
    <row r="351" spans="4:7" x14ac:dyDescent="0.35">
      <c r="D351" s="1">
        <v>44911</v>
      </c>
      <c r="E351">
        <v>33</v>
      </c>
      <c r="F351">
        <v>46.46</v>
      </c>
      <c r="G351">
        <v>142.53</v>
      </c>
    </row>
    <row r="352" spans="4:7" x14ac:dyDescent="0.35">
      <c r="D352" s="1">
        <v>44912</v>
      </c>
      <c r="E352">
        <v>25</v>
      </c>
      <c r="F352">
        <v>39.43</v>
      </c>
      <c r="G352">
        <v>152.25</v>
      </c>
    </row>
    <row r="353" spans="4:7" x14ac:dyDescent="0.35">
      <c r="D353" s="1">
        <v>44913</v>
      </c>
      <c r="E353">
        <v>34</v>
      </c>
      <c r="F353">
        <v>53.58</v>
      </c>
      <c r="G353">
        <v>166.11</v>
      </c>
    </row>
    <row r="354" spans="4:7" x14ac:dyDescent="0.35">
      <c r="D354" s="1">
        <v>44914</v>
      </c>
      <c r="E354">
        <v>28</v>
      </c>
      <c r="F354">
        <v>44.74</v>
      </c>
      <c r="G354">
        <v>200.62</v>
      </c>
    </row>
    <row r="355" spans="4:7" x14ac:dyDescent="0.35">
      <c r="D355" s="1">
        <v>44915</v>
      </c>
      <c r="E355">
        <v>32</v>
      </c>
      <c r="F355">
        <v>39.44</v>
      </c>
      <c r="G355">
        <v>151.53</v>
      </c>
    </row>
    <row r="356" spans="4:7" x14ac:dyDescent="0.35">
      <c r="D356" s="1">
        <v>44916</v>
      </c>
      <c r="E356">
        <v>33</v>
      </c>
      <c r="F356">
        <v>40.9</v>
      </c>
      <c r="G356">
        <v>231.1</v>
      </c>
    </row>
    <row r="357" spans="4:7" x14ac:dyDescent="0.35">
      <c r="D357" s="1">
        <v>44917</v>
      </c>
      <c r="E357">
        <v>31</v>
      </c>
      <c r="F357">
        <v>44.72</v>
      </c>
      <c r="G357">
        <v>145.86000000000001</v>
      </c>
    </row>
    <row r="358" spans="4:7" x14ac:dyDescent="0.35">
      <c r="D358" s="1">
        <v>44918</v>
      </c>
      <c r="E358">
        <v>29</v>
      </c>
      <c r="F358">
        <v>42.4</v>
      </c>
      <c r="G358">
        <v>221.33</v>
      </c>
    </row>
    <row r="359" spans="4:7" x14ac:dyDescent="0.35">
      <c r="D359" s="1">
        <v>44919</v>
      </c>
      <c r="E359">
        <v>23</v>
      </c>
      <c r="F359">
        <v>40.659999999999997</v>
      </c>
      <c r="G359">
        <v>202.59</v>
      </c>
    </row>
    <row r="360" spans="4:7" x14ac:dyDescent="0.35">
      <c r="D360" s="1">
        <v>44920</v>
      </c>
      <c r="E360">
        <v>28</v>
      </c>
      <c r="F360">
        <v>54.41</v>
      </c>
      <c r="G360">
        <v>229.67</v>
      </c>
    </row>
    <row r="361" spans="4:7" x14ac:dyDescent="0.35">
      <c r="D361" s="1">
        <v>44921</v>
      </c>
      <c r="E361">
        <v>34</v>
      </c>
      <c r="F361">
        <v>50.54</v>
      </c>
      <c r="G361">
        <v>164.52</v>
      </c>
    </row>
    <row r="362" spans="4:7" x14ac:dyDescent="0.35">
      <c r="D362" s="1">
        <v>44922</v>
      </c>
      <c r="E362">
        <v>28</v>
      </c>
      <c r="F362">
        <v>57.57</v>
      </c>
      <c r="G362">
        <v>221.44</v>
      </c>
    </row>
    <row r="363" spans="4:7" x14ac:dyDescent="0.35">
      <c r="D363" s="1">
        <v>44923</v>
      </c>
      <c r="E363">
        <v>30</v>
      </c>
      <c r="F363">
        <v>43.87</v>
      </c>
      <c r="G363">
        <v>153.31</v>
      </c>
    </row>
    <row r="364" spans="4:7" x14ac:dyDescent="0.35">
      <c r="D364" s="1">
        <v>44924</v>
      </c>
      <c r="E364">
        <v>32</v>
      </c>
      <c r="F364">
        <v>43.04</v>
      </c>
      <c r="G364">
        <v>221.72</v>
      </c>
    </row>
    <row r="365" spans="4:7" x14ac:dyDescent="0.35">
      <c r="D365" s="1">
        <v>44925</v>
      </c>
      <c r="E365">
        <v>32</v>
      </c>
      <c r="F365">
        <v>40</v>
      </c>
      <c r="G365">
        <v>149.63999999999999</v>
      </c>
    </row>
    <row r="366" spans="4:7" x14ac:dyDescent="0.35">
      <c r="D366" s="1">
        <v>44926</v>
      </c>
      <c r="E366">
        <v>29</v>
      </c>
      <c r="F366">
        <v>55.75</v>
      </c>
      <c r="G366">
        <v>146.54</v>
      </c>
    </row>
    <row r="367" spans="4:7" x14ac:dyDescent="0.35">
      <c r="D367" s="1">
        <v>44927</v>
      </c>
      <c r="E367">
        <v>24</v>
      </c>
      <c r="F367">
        <v>47.12</v>
      </c>
      <c r="G367">
        <v>154.18</v>
      </c>
    </row>
    <row r="368" spans="4:7" x14ac:dyDescent="0.35">
      <c r="D368" s="1">
        <v>44928</v>
      </c>
      <c r="E368">
        <v>29</v>
      </c>
      <c r="F368">
        <v>46.53</v>
      </c>
      <c r="G368">
        <v>158.38</v>
      </c>
    </row>
    <row r="369" spans="4:7" x14ac:dyDescent="0.35">
      <c r="D369" s="1">
        <v>44929</v>
      </c>
      <c r="E369">
        <v>31</v>
      </c>
      <c r="F369">
        <v>38.24</v>
      </c>
      <c r="G369">
        <v>222.46</v>
      </c>
    </row>
    <row r="370" spans="4:7" x14ac:dyDescent="0.35">
      <c r="D370" s="1">
        <v>44930</v>
      </c>
      <c r="E370">
        <v>33</v>
      </c>
      <c r="F370">
        <v>44.46</v>
      </c>
      <c r="G370">
        <v>192.11</v>
      </c>
    </row>
    <row r="371" spans="4:7" x14ac:dyDescent="0.35">
      <c r="D371" s="1">
        <v>44931</v>
      </c>
      <c r="E371">
        <v>26</v>
      </c>
      <c r="F371">
        <v>47.71</v>
      </c>
      <c r="G371">
        <v>136.81</v>
      </c>
    </row>
    <row r="372" spans="4:7" x14ac:dyDescent="0.35">
      <c r="D372" s="1">
        <v>44932</v>
      </c>
      <c r="E372">
        <v>24</v>
      </c>
      <c r="F372">
        <v>51.63</v>
      </c>
      <c r="G372">
        <v>142.71</v>
      </c>
    </row>
    <row r="373" spans="4:7" x14ac:dyDescent="0.35">
      <c r="D373" s="1">
        <v>44933</v>
      </c>
      <c r="E373">
        <v>26</v>
      </c>
      <c r="F373">
        <v>43.47</v>
      </c>
      <c r="G373">
        <v>167.05</v>
      </c>
    </row>
    <row r="374" spans="4:7" x14ac:dyDescent="0.35">
      <c r="D374" s="1">
        <v>44934</v>
      </c>
      <c r="E374">
        <v>31</v>
      </c>
      <c r="F374">
        <v>41.09</v>
      </c>
      <c r="G374">
        <v>207.43</v>
      </c>
    </row>
    <row r="375" spans="4:7" x14ac:dyDescent="0.35">
      <c r="D375" s="1">
        <v>44935</v>
      </c>
      <c r="E375">
        <v>34</v>
      </c>
      <c r="F375">
        <v>48.27</v>
      </c>
      <c r="G375">
        <v>169.73</v>
      </c>
    </row>
    <row r="376" spans="4:7" x14ac:dyDescent="0.35">
      <c r="D376" s="1">
        <v>44936</v>
      </c>
      <c r="E376">
        <v>29</v>
      </c>
      <c r="F376">
        <v>50.01</v>
      </c>
      <c r="G376">
        <v>179.95</v>
      </c>
    </row>
    <row r="377" spans="4:7" x14ac:dyDescent="0.35">
      <c r="D377" s="1">
        <v>44937</v>
      </c>
      <c r="E377">
        <v>25</v>
      </c>
      <c r="F377">
        <v>42.43</v>
      </c>
      <c r="G377">
        <v>159.33000000000001</v>
      </c>
    </row>
    <row r="378" spans="4:7" x14ac:dyDescent="0.35">
      <c r="D378" s="1">
        <v>44938</v>
      </c>
      <c r="E378">
        <v>24</v>
      </c>
      <c r="F378">
        <v>49.73</v>
      </c>
      <c r="G378">
        <v>168.37</v>
      </c>
    </row>
    <row r="379" spans="4:7" x14ac:dyDescent="0.35">
      <c r="D379" s="1">
        <v>44939</v>
      </c>
      <c r="E379">
        <v>27</v>
      </c>
      <c r="F379">
        <v>40.46</v>
      </c>
      <c r="G379">
        <v>157.78</v>
      </c>
    </row>
    <row r="380" spans="4:7" x14ac:dyDescent="0.35">
      <c r="D380" s="1">
        <v>44940</v>
      </c>
      <c r="E380">
        <v>34</v>
      </c>
      <c r="F380">
        <v>57.89</v>
      </c>
      <c r="G380">
        <v>229.8</v>
      </c>
    </row>
    <row r="381" spans="4:7" x14ac:dyDescent="0.35">
      <c r="D381" s="1">
        <v>44941</v>
      </c>
      <c r="E381">
        <v>32</v>
      </c>
      <c r="F381">
        <v>50.89</v>
      </c>
      <c r="G381">
        <v>177.23</v>
      </c>
    </row>
    <row r="382" spans="4:7" x14ac:dyDescent="0.35">
      <c r="D382" s="1">
        <v>44942</v>
      </c>
      <c r="E382">
        <v>34</v>
      </c>
      <c r="F382">
        <v>45.95</v>
      </c>
      <c r="G382">
        <v>225.57</v>
      </c>
    </row>
    <row r="383" spans="4:7" x14ac:dyDescent="0.35">
      <c r="D383" s="1">
        <v>44943</v>
      </c>
      <c r="E383">
        <v>32</v>
      </c>
      <c r="F383">
        <v>41.31</v>
      </c>
      <c r="G383">
        <v>234.05</v>
      </c>
    </row>
    <row r="384" spans="4:7" x14ac:dyDescent="0.35">
      <c r="D384" s="1">
        <v>44944</v>
      </c>
      <c r="E384">
        <v>26</v>
      </c>
      <c r="F384">
        <v>53.68</v>
      </c>
      <c r="G384">
        <v>181.35</v>
      </c>
    </row>
    <row r="385" spans="4:7" x14ac:dyDescent="0.35">
      <c r="D385" s="1">
        <v>44945</v>
      </c>
      <c r="E385">
        <v>33</v>
      </c>
      <c r="F385">
        <v>56.16</v>
      </c>
      <c r="G385">
        <v>183.99</v>
      </c>
    </row>
    <row r="386" spans="4:7" x14ac:dyDescent="0.35">
      <c r="D386" s="1">
        <v>44946</v>
      </c>
      <c r="E386">
        <v>31</v>
      </c>
      <c r="F386">
        <v>56.31</v>
      </c>
      <c r="G386">
        <v>158.07</v>
      </c>
    </row>
    <row r="387" spans="4:7" x14ac:dyDescent="0.35">
      <c r="D387" s="1">
        <v>44947</v>
      </c>
      <c r="E387">
        <v>26</v>
      </c>
      <c r="F387">
        <v>50.24</v>
      </c>
      <c r="G387">
        <v>140.16</v>
      </c>
    </row>
    <row r="388" spans="4:7" x14ac:dyDescent="0.35">
      <c r="D388" s="1">
        <v>44948</v>
      </c>
      <c r="E388">
        <v>29</v>
      </c>
      <c r="F388">
        <v>56.68</v>
      </c>
      <c r="G388">
        <v>212.48</v>
      </c>
    </row>
    <row r="389" spans="4:7" x14ac:dyDescent="0.35">
      <c r="D389" s="1">
        <v>44949</v>
      </c>
      <c r="E389">
        <v>25</v>
      </c>
      <c r="F389">
        <v>49.87</v>
      </c>
      <c r="G389">
        <v>218.74</v>
      </c>
    </row>
    <row r="390" spans="4:7" x14ac:dyDescent="0.35">
      <c r="D390" s="1">
        <v>44950</v>
      </c>
      <c r="E390">
        <v>26</v>
      </c>
      <c r="F390">
        <v>51.07</v>
      </c>
      <c r="G390">
        <v>143.88</v>
      </c>
    </row>
    <row r="391" spans="4:7" x14ac:dyDescent="0.35">
      <c r="D391" s="1">
        <v>44951</v>
      </c>
      <c r="E391">
        <v>28</v>
      </c>
      <c r="F391">
        <v>54.51</v>
      </c>
      <c r="G391">
        <v>201.17</v>
      </c>
    </row>
    <row r="392" spans="4:7" x14ac:dyDescent="0.35">
      <c r="D392" s="1">
        <v>44952</v>
      </c>
      <c r="E392">
        <v>26</v>
      </c>
      <c r="F392">
        <v>40.5</v>
      </c>
      <c r="G392">
        <v>184.31</v>
      </c>
    </row>
    <row r="393" spans="4:7" x14ac:dyDescent="0.35">
      <c r="D393" s="1">
        <v>44953</v>
      </c>
      <c r="E393">
        <v>31</v>
      </c>
      <c r="F393">
        <v>55.76</v>
      </c>
      <c r="G393">
        <v>183.19</v>
      </c>
    </row>
    <row r="394" spans="4:7" x14ac:dyDescent="0.35">
      <c r="D394" s="1">
        <v>44954</v>
      </c>
      <c r="E394">
        <v>35</v>
      </c>
      <c r="F394">
        <v>53.46</v>
      </c>
      <c r="G394">
        <v>148.43</v>
      </c>
    </row>
    <row r="395" spans="4:7" x14ac:dyDescent="0.35">
      <c r="D395" s="1">
        <v>44955</v>
      </c>
      <c r="E395">
        <v>35</v>
      </c>
      <c r="F395">
        <v>51.04</v>
      </c>
      <c r="G395">
        <v>222.12</v>
      </c>
    </row>
    <row r="396" spans="4:7" x14ac:dyDescent="0.35">
      <c r="D396" s="1">
        <v>44956</v>
      </c>
      <c r="E396">
        <v>28</v>
      </c>
      <c r="F396">
        <v>52.17</v>
      </c>
      <c r="G396">
        <v>225.48</v>
      </c>
    </row>
    <row r="397" spans="4:7" x14ac:dyDescent="0.35">
      <c r="D397" s="1">
        <v>44957</v>
      </c>
      <c r="E397">
        <v>26</v>
      </c>
      <c r="F397">
        <v>47.1</v>
      </c>
      <c r="G397">
        <v>222.14</v>
      </c>
    </row>
    <row r="398" spans="4:7" x14ac:dyDescent="0.35">
      <c r="D398" s="1">
        <v>44958</v>
      </c>
      <c r="E398">
        <v>28</v>
      </c>
      <c r="F398">
        <v>38.159999999999997</v>
      </c>
      <c r="G398">
        <v>182.8</v>
      </c>
    </row>
    <row r="399" spans="4:7" x14ac:dyDescent="0.35">
      <c r="D399" s="1">
        <v>44959</v>
      </c>
      <c r="E399">
        <v>28</v>
      </c>
      <c r="F399">
        <v>56.95</v>
      </c>
      <c r="G399">
        <v>231.15</v>
      </c>
    </row>
    <row r="400" spans="4:7" x14ac:dyDescent="0.35">
      <c r="D400" s="1">
        <v>44960</v>
      </c>
      <c r="E400">
        <v>33</v>
      </c>
      <c r="F400">
        <v>39.799999999999997</v>
      </c>
      <c r="G400">
        <v>168.39</v>
      </c>
    </row>
    <row r="401" spans="4:7" x14ac:dyDescent="0.35">
      <c r="D401" s="1">
        <v>44961</v>
      </c>
      <c r="E401">
        <v>28</v>
      </c>
      <c r="F401">
        <v>49.98</v>
      </c>
      <c r="G401">
        <v>172.84</v>
      </c>
    </row>
    <row r="402" spans="4:7" x14ac:dyDescent="0.35">
      <c r="D402" s="1">
        <v>44962</v>
      </c>
      <c r="E402">
        <v>32</v>
      </c>
      <c r="F402">
        <v>52.45</v>
      </c>
      <c r="G402">
        <v>177.37</v>
      </c>
    </row>
    <row r="403" spans="4:7" x14ac:dyDescent="0.35">
      <c r="D403" s="1">
        <v>44963</v>
      </c>
      <c r="E403">
        <v>28</v>
      </c>
      <c r="F403">
        <v>50.85</v>
      </c>
      <c r="G403">
        <v>179.32</v>
      </c>
    </row>
    <row r="404" spans="4:7" x14ac:dyDescent="0.35">
      <c r="D404" s="1">
        <v>44964</v>
      </c>
      <c r="E404">
        <v>34</v>
      </c>
      <c r="F404">
        <v>40.04</v>
      </c>
      <c r="G404">
        <v>192.85</v>
      </c>
    </row>
    <row r="405" spans="4:7" x14ac:dyDescent="0.35">
      <c r="D405" s="1">
        <v>44965</v>
      </c>
      <c r="E405">
        <v>25</v>
      </c>
      <c r="F405">
        <v>56.82</v>
      </c>
      <c r="G405">
        <v>161.9</v>
      </c>
    </row>
    <row r="406" spans="4:7" x14ac:dyDescent="0.35">
      <c r="D406" s="1">
        <v>44966</v>
      </c>
      <c r="E406">
        <v>29</v>
      </c>
      <c r="F406">
        <v>39.880000000000003</v>
      </c>
      <c r="G406">
        <v>205.14</v>
      </c>
    </row>
    <row r="407" spans="4:7" x14ac:dyDescent="0.35">
      <c r="D407" s="1">
        <v>44967</v>
      </c>
      <c r="E407">
        <v>31</v>
      </c>
      <c r="F407">
        <v>51.66</v>
      </c>
      <c r="G407">
        <v>161.12</v>
      </c>
    </row>
    <row r="408" spans="4:7" x14ac:dyDescent="0.35">
      <c r="D408" s="1">
        <v>44968</v>
      </c>
      <c r="E408">
        <v>31</v>
      </c>
      <c r="F408">
        <v>40.57</v>
      </c>
      <c r="G408">
        <v>187.59</v>
      </c>
    </row>
    <row r="409" spans="4:7" x14ac:dyDescent="0.35">
      <c r="D409" s="1">
        <v>44969</v>
      </c>
      <c r="E409">
        <v>37</v>
      </c>
      <c r="F409">
        <v>43.96</v>
      </c>
      <c r="G409">
        <v>168.68</v>
      </c>
    </row>
    <row r="410" spans="4:7" x14ac:dyDescent="0.35">
      <c r="D410" s="1">
        <v>44970</v>
      </c>
      <c r="E410">
        <v>29</v>
      </c>
      <c r="F410">
        <v>47.28</v>
      </c>
      <c r="G410">
        <v>222.89</v>
      </c>
    </row>
    <row r="411" spans="4:7" x14ac:dyDescent="0.35">
      <c r="D411" s="1">
        <v>44971</v>
      </c>
      <c r="E411">
        <v>26</v>
      </c>
      <c r="F411">
        <v>42.72</v>
      </c>
      <c r="G411">
        <v>184.97</v>
      </c>
    </row>
    <row r="412" spans="4:7" x14ac:dyDescent="0.35">
      <c r="D412" s="1">
        <v>44972</v>
      </c>
      <c r="E412">
        <v>27</v>
      </c>
      <c r="F412">
        <v>57.75</v>
      </c>
      <c r="G412">
        <v>225.94</v>
      </c>
    </row>
    <row r="413" spans="4:7" x14ac:dyDescent="0.35">
      <c r="D413" s="1">
        <v>44973</v>
      </c>
      <c r="E413">
        <v>32</v>
      </c>
      <c r="F413">
        <v>56.96</v>
      </c>
      <c r="G413">
        <v>152.52000000000001</v>
      </c>
    </row>
    <row r="414" spans="4:7" x14ac:dyDescent="0.35">
      <c r="D414" s="1">
        <v>44974</v>
      </c>
      <c r="E414">
        <v>37</v>
      </c>
      <c r="F414">
        <v>46.11</v>
      </c>
      <c r="G414">
        <v>211.64</v>
      </c>
    </row>
    <row r="415" spans="4:7" x14ac:dyDescent="0.35">
      <c r="D415" s="1">
        <v>44975</v>
      </c>
      <c r="E415">
        <v>32</v>
      </c>
      <c r="F415">
        <v>54.35</v>
      </c>
      <c r="G415">
        <v>214.76</v>
      </c>
    </row>
    <row r="416" spans="4:7" x14ac:dyDescent="0.35">
      <c r="D416" s="1">
        <v>44976</v>
      </c>
      <c r="E416">
        <v>35</v>
      </c>
      <c r="F416">
        <v>46.74</v>
      </c>
      <c r="G416">
        <v>135.25</v>
      </c>
    </row>
    <row r="417" spans="4:7" x14ac:dyDescent="0.35">
      <c r="D417" s="1">
        <v>44977</v>
      </c>
      <c r="E417">
        <v>27</v>
      </c>
      <c r="F417">
        <v>48.56</v>
      </c>
      <c r="G417">
        <v>135.66999999999999</v>
      </c>
    </row>
    <row r="418" spans="4:7" x14ac:dyDescent="0.35">
      <c r="D418" s="1">
        <v>44978</v>
      </c>
      <c r="E418">
        <v>31</v>
      </c>
      <c r="F418">
        <v>42.73</v>
      </c>
      <c r="G418">
        <v>205.16</v>
      </c>
    </row>
    <row r="419" spans="4:7" x14ac:dyDescent="0.35">
      <c r="D419" s="1">
        <v>44979</v>
      </c>
      <c r="E419">
        <v>25</v>
      </c>
      <c r="F419">
        <v>39.090000000000003</v>
      </c>
      <c r="G419">
        <v>155.33000000000001</v>
      </c>
    </row>
    <row r="420" spans="4:7" x14ac:dyDescent="0.35">
      <c r="D420" s="1">
        <v>44980</v>
      </c>
      <c r="E420">
        <v>31</v>
      </c>
      <c r="F420">
        <v>43.02</v>
      </c>
      <c r="G420">
        <v>153.93</v>
      </c>
    </row>
    <row r="421" spans="4:7" x14ac:dyDescent="0.35">
      <c r="D421" s="1">
        <v>44981</v>
      </c>
      <c r="E421">
        <v>36</v>
      </c>
      <c r="F421">
        <v>49.56</v>
      </c>
      <c r="G421">
        <v>138.15</v>
      </c>
    </row>
    <row r="422" spans="4:7" x14ac:dyDescent="0.35">
      <c r="D422" s="1">
        <v>44982</v>
      </c>
      <c r="E422">
        <v>27</v>
      </c>
      <c r="F422">
        <v>42.99</v>
      </c>
      <c r="G422">
        <v>220.87</v>
      </c>
    </row>
    <row r="423" spans="4:7" x14ac:dyDescent="0.35">
      <c r="D423" s="1">
        <v>44983</v>
      </c>
      <c r="E423">
        <v>32</v>
      </c>
      <c r="F423">
        <v>51.63</v>
      </c>
      <c r="G423">
        <v>228.71</v>
      </c>
    </row>
    <row r="424" spans="4:7" x14ac:dyDescent="0.35">
      <c r="D424" s="1">
        <v>44984</v>
      </c>
      <c r="E424">
        <v>30</v>
      </c>
      <c r="F424">
        <v>39.75</v>
      </c>
      <c r="G424">
        <v>136.96</v>
      </c>
    </row>
    <row r="425" spans="4:7" x14ac:dyDescent="0.35">
      <c r="D425" s="1">
        <v>44985</v>
      </c>
      <c r="E425">
        <v>34</v>
      </c>
      <c r="F425">
        <v>50.74</v>
      </c>
      <c r="G425">
        <v>190.05</v>
      </c>
    </row>
    <row r="426" spans="4:7" x14ac:dyDescent="0.35">
      <c r="D426" s="1">
        <v>44986</v>
      </c>
      <c r="E426">
        <v>27</v>
      </c>
      <c r="F426">
        <v>50.15</v>
      </c>
      <c r="G426">
        <v>196.39</v>
      </c>
    </row>
    <row r="427" spans="4:7" x14ac:dyDescent="0.35">
      <c r="D427" s="1">
        <v>44987</v>
      </c>
      <c r="E427">
        <v>27</v>
      </c>
      <c r="F427">
        <v>49.15</v>
      </c>
      <c r="G427">
        <v>201.24</v>
      </c>
    </row>
    <row r="428" spans="4:7" x14ac:dyDescent="0.35">
      <c r="D428" s="1">
        <v>44988</v>
      </c>
      <c r="E428">
        <v>27</v>
      </c>
      <c r="F428">
        <v>55.51</v>
      </c>
      <c r="G428">
        <v>153.27000000000001</v>
      </c>
    </row>
    <row r="429" spans="4:7" x14ac:dyDescent="0.35">
      <c r="D429" s="1">
        <v>44989</v>
      </c>
      <c r="E429">
        <v>36</v>
      </c>
      <c r="F429">
        <v>50.13</v>
      </c>
      <c r="G429">
        <v>183.22</v>
      </c>
    </row>
    <row r="430" spans="4:7" x14ac:dyDescent="0.35">
      <c r="D430" s="1">
        <v>44990</v>
      </c>
      <c r="E430">
        <v>27</v>
      </c>
      <c r="F430">
        <v>49.63</v>
      </c>
      <c r="G430">
        <v>221.7</v>
      </c>
    </row>
    <row r="431" spans="4:7" x14ac:dyDescent="0.35">
      <c r="D431" s="1">
        <v>44991</v>
      </c>
      <c r="E431">
        <v>29</v>
      </c>
      <c r="F431">
        <v>43.02</v>
      </c>
      <c r="G431">
        <v>226.39</v>
      </c>
    </row>
    <row r="432" spans="4:7" x14ac:dyDescent="0.35">
      <c r="D432" s="1">
        <v>44992</v>
      </c>
      <c r="E432">
        <v>30</v>
      </c>
      <c r="F432">
        <v>53.8</v>
      </c>
      <c r="G432">
        <v>199.03</v>
      </c>
    </row>
    <row r="433" spans="4:7" x14ac:dyDescent="0.35">
      <c r="D433" s="1">
        <v>44993</v>
      </c>
      <c r="E433">
        <v>33</v>
      </c>
      <c r="F433">
        <v>38.909999999999997</v>
      </c>
      <c r="G433">
        <v>205.9</v>
      </c>
    </row>
    <row r="434" spans="4:7" x14ac:dyDescent="0.35">
      <c r="D434" s="1">
        <v>44994</v>
      </c>
      <c r="E434">
        <v>36</v>
      </c>
      <c r="F434">
        <v>53.12</v>
      </c>
      <c r="G434">
        <v>170.84</v>
      </c>
    </row>
    <row r="435" spans="4:7" x14ac:dyDescent="0.35">
      <c r="D435" s="1">
        <v>44995</v>
      </c>
      <c r="E435">
        <v>27</v>
      </c>
      <c r="F435">
        <v>50.85</v>
      </c>
      <c r="G435">
        <v>161.38</v>
      </c>
    </row>
    <row r="436" spans="4:7" x14ac:dyDescent="0.35">
      <c r="D436" s="1">
        <v>44996</v>
      </c>
      <c r="E436">
        <v>33</v>
      </c>
      <c r="F436">
        <v>53.06</v>
      </c>
      <c r="G436">
        <v>158.16999999999999</v>
      </c>
    </row>
    <row r="437" spans="4:7" x14ac:dyDescent="0.35">
      <c r="D437" s="1">
        <v>44997</v>
      </c>
      <c r="E437">
        <v>36</v>
      </c>
      <c r="F437">
        <v>40.25</v>
      </c>
      <c r="G437">
        <v>143.46</v>
      </c>
    </row>
    <row r="438" spans="4:7" x14ac:dyDescent="0.35">
      <c r="D438" s="1">
        <v>44998</v>
      </c>
      <c r="E438">
        <v>29</v>
      </c>
      <c r="F438">
        <v>38.369999999999997</v>
      </c>
      <c r="G438">
        <v>162.63999999999999</v>
      </c>
    </row>
    <row r="439" spans="4:7" x14ac:dyDescent="0.35">
      <c r="D439" s="1">
        <v>44999</v>
      </c>
      <c r="E439">
        <v>30</v>
      </c>
      <c r="F439">
        <v>39.64</v>
      </c>
      <c r="G439">
        <v>172.2</v>
      </c>
    </row>
    <row r="440" spans="4:7" x14ac:dyDescent="0.35">
      <c r="D440" s="1">
        <v>45000</v>
      </c>
      <c r="E440">
        <v>34</v>
      </c>
      <c r="F440">
        <v>47.63</v>
      </c>
      <c r="G440">
        <v>137.52000000000001</v>
      </c>
    </row>
    <row r="441" spans="4:7" x14ac:dyDescent="0.35">
      <c r="D441" s="1">
        <v>45001</v>
      </c>
      <c r="E441">
        <v>33</v>
      </c>
      <c r="F441">
        <v>52.43</v>
      </c>
      <c r="G441">
        <v>226.42</v>
      </c>
    </row>
    <row r="442" spans="4:7" x14ac:dyDescent="0.35">
      <c r="D442" s="1">
        <v>45002</v>
      </c>
      <c r="E442">
        <v>30</v>
      </c>
      <c r="F442">
        <v>53.81</v>
      </c>
      <c r="G442">
        <v>181.22</v>
      </c>
    </row>
    <row r="443" spans="4:7" x14ac:dyDescent="0.35">
      <c r="D443" s="1">
        <v>45003</v>
      </c>
      <c r="E443">
        <v>33</v>
      </c>
      <c r="F443">
        <v>37.92</v>
      </c>
      <c r="G443">
        <v>137.91</v>
      </c>
    </row>
    <row r="444" spans="4:7" x14ac:dyDescent="0.35">
      <c r="D444" s="1">
        <v>45004</v>
      </c>
      <c r="E444">
        <v>36</v>
      </c>
      <c r="F444">
        <v>56.31</v>
      </c>
      <c r="G444">
        <v>138.97999999999999</v>
      </c>
    </row>
    <row r="445" spans="4:7" x14ac:dyDescent="0.35">
      <c r="D445" s="1">
        <v>45005</v>
      </c>
      <c r="E445">
        <v>29</v>
      </c>
      <c r="F445">
        <v>40.479999999999997</v>
      </c>
      <c r="G445">
        <v>183.65</v>
      </c>
    </row>
    <row r="446" spans="4:7" x14ac:dyDescent="0.35">
      <c r="D446" s="1">
        <v>45006</v>
      </c>
      <c r="E446">
        <v>29</v>
      </c>
      <c r="F446">
        <v>57.03</v>
      </c>
      <c r="G446">
        <v>141.31</v>
      </c>
    </row>
    <row r="447" spans="4:7" x14ac:dyDescent="0.35">
      <c r="D447" s="1">
        <v>45007</v>
      </c>
      <c r="E447">
        <v>37</v>
      </c>
      <c r="F447">
        <v>55.73</v>
      </c>
      <c r="G447">
        <v>170.09</v>
      </c>
    </row>
    <row r="448" spans="4:7" x14ac:dyDescent="0.35">
      <c r="D448" s="1">
        <v>45008</v>
      </c>
      <c r="E448">
        <v>33</v>
      </c>
      <c r="F448">
        <v>48.18</v>
      </c>
      <c r="G448">
        <v>192.55</v>
      </c>
    </row>
    <row r="449" spans="4:7" x14ac:dyDescent="0.35">
      <c r="D449" s="1">
        <v>45009</v>
      </c>
      <c r="E449">
        <v>34</v>
      </c>
      <c r="F449">
        <v>56.59</v>
      </c>
      <c r="G449">
        <v>144.85</v>
      </c>
    </row>
    <row r="450" spans="4:7" x14ac:dyDescent="0.35">
      <c r="D450" s="1">
        <v>45010</v>
      </c>
      <c r="E450">
        <v>26</v>
      </c>
      <c r="F450">
        <v>45.39</v>
      </c>
      <c r="G450">
        <v>171.13</v>
      </c>
    </row>
    <row r="451" spans="4:7" x14ac:dyDescent="0.35">
      <c r="D451" s="1">
        <v>45011</v>
      </c>
      <c r="E451">
        <v>29</v>
      </c>
      <c r="F451">
        <v>42.52</v>
      </c>
      <c r="G451">
        <v>180.48</v>
      </c>
    </row>
    <row r="452" spans="4:7" x14ac:dyDescent="0.35">
      <c r="D452" s="1">
        <v>45012</v>
      </c>
      <c r="E452">
        <v>32</v>
      </c>
      <c r="F452">
        <v>50.66</v>
      </c>
      <c r="G452">
        <v>195.34</v>
      </c>
    </row>
    <row r="453" spans="4:7" x14ac:dyDescent="0.35">
      <c r="D453" s="1">
        <v>45013</v>
      </c>
      <c r="E453">
        <v>36</v>
      </c>
      <c r="F453">
        <v>45.71</v>
      </c>
      <c r="G453">
        <v>222.8</v>
      </c>
    </row>
    <row r="454" spans="4:7" x14ac:dyDescent="0.35">
      <c r="D454" s="1">
        <v>45014</v>
      </c>
      <c r="E454">
        <v>31</v>
      </c>
      <c r="F454">
        <v>46.94</v>
      </c>
      <c r="G454">
        <v>190.74</v>
      </c>
    </row>
    <row r="455" spans="4:7" x14ac:dyDescent="0.35">
      <c r="D455" s="1">
        <v>45015</v>
      </c>
      <c r="E455">
        <v>35</v>
      </c>
      <c r="F455">
        <v>46.99</v>
      </c>
      <c r="G455">
        <v>220.95</v>
      </c>
    </row>
    <row r="456" spans="4:7" x14ac:dyDescent="0.35">
      <c r="D456" s="1">
        <v>45016</v>
      </c>
      <c r="E456">
        <v>35</v>
      </c>
      <c r="F456">
        <v>49.93</v>
      </c>
      <c r="G456">
        <v>173.05</v>
      </c>
    </row>
    <row r="457" spans="4:7" x14ac:dyDescent="0.35">
      <c r="D457" s="1">
        <v>45017</v>
      </c>
      <c r="E457">
        <v>34</v>
      </c>
      <c r="F457">
        <v>52.77</v>
      </c>
      <c r="G457">
        <v>162.15</v>
      </c>
    </row>
    <row r="458" spans="4:7" x14ac:dyDescent="0.35">
      <c r="D458" s="1">
        <v>45018</v>
      </c>
      <c r="E458">
        <v>35</v>
      </c>
      <c r="F458">
        <v>55.36</v>
      </c>
      <c r="G458">
        <v>167.56</v>
      </c>
    </row>
    <row r="459" spans="4:7" x14ac:dyDescent="0.35">
      <c r="D459" s="1">
        <v>45019</v>
      </c>
      <c r="E459">
        <v>31</v>
      </c>
      <c r="F459">
        <v>40.17</v>
      </c>
      <c r="G459">
        <v>226.72</v>
      </c>
    </row>
    <row r="460" spans="4:7" x14ac:dyDescent="0.35">
      <c r="D460" s="1">
        <v>45020</v>
      </c>
      <c r="E460">
        <v>32</v>
      </c>
      <c r="F460">
        <v>47.58</v>
      </c>
      <c r="G460">
        <v>140.26</v>
      </c>
    </row>
    <row r="461" spans="4:7" x14ac:dyDescent="0.35">
      <c r="D461" s="1">
        <v>45021</v>
      </c>
      <c r="E461">
        <v>33</v>
      </c>
      <c r="F461">
        <v>38.32</v>
      </c>
      <c r="G461">
        <v>214.02</v>
      </c>
    </row>
    <row r="462" spans="4:7" x14ac:dyDescent="0.35">
      <c r="D462" s="1">
        <v>45022</v>
      </c>
      <c r="E462">
        <v>33</v>
      </c>
      <c r="F462">
        <v>53.68</v>
      </c>
      <c r="G462">
        <v>140.13</v>
      </c>
    </row>
    <row r="463" spans="4:7" x14ac:dyDescent="0.35">
      <c r="D463" s="1">
        <v>45023</v>
      </c>
      <c r="E463">
        <v>32</v>
      </c>
      <c r="F463">
        <v>38.07</v>
      </c>
      <c r="G463">
        <v>149.53</v>
      </c>
    </row>
    <row r="464" spans="4:7" x14ac:dyDescent="0.35">
      <c r="D464" s="1">
        <v>45024</v>
      </c>
      <c r="E464">
        <v>38</v>
      </c>
      <c r="F464">
        <v>55.31</v>
      </c>
      <c r="G464">
        <v>169.99</v>
      </c>
    </row>
    <row r="465" spans="4:7" x14ac:dyDescent="0.35">
      <c r="D465" s="1">
        <v>45025</v>
      </c>
      <c r="E465">
        <v>29</v>
      </c>
      <c r="F465">
        <v>44.46</v>
      </c>
      <c r="G465">
        <v>228.64</v>
      </c>
    </row>
    <row r="466" spans="4:7" x14ac:dyDescent="0.35">
      <c r="D466" s="1">
        <v>45026</v>
      </c>
      <c r="E466">
        <v>32</v>
      </c>
      <c r="F466">
        <v>40.42</v>
      </c>
      <c r="G466">
        <v>176.68</v>
      </c>
    </row>
    <row r="467" spans="4:7" x14ac:dyDescent="0.35">
      <c r="D467" s="1">
        <v>45027</v>
      </c>
      <c r="E467">
        <v>29</v>
      </c>
      <c r="F467">
        <v>47</v>
      </c>
      <c r="G467">
        <v>209.12</v>
      </c>
    </row>
    <row r="468" spans="4:7" x14ac:dyDescent="0.35">
      <c r="D468" s="1">
        <v>45028</v>
      </c>
      <c r="E468">
        <v>28</v>
      </c>
      <c r="F468">
        <v>56.92</v>
      </c>
      <c r="G468">
        <v>139.87</v>
      </c>
    </row>
    <row r="469" spans="4:7" x14ac:dyDescent="0.35">
      <c r="D469" s="1">
        <v>45029</v>
      </c>
      <c r="E469">
        <v>33</v>
      </c>
      <c r="F469">
        <v>46.46</v>
      </c>
      <c r="G469">
        <v>197.04</v>
      </c>
    </row>
    <row r="470" spans="4:7" x14ac:dyDescent="0.35">
      <c r="D470" s="1">
        <v>45030</v>
      </c>
      <c r="E470">
        <v>29</v>
      </c>
      <c r="F470">
        <v>50.66</v>
      </c>
      <c r="G470">
        <v>155.16999999999999</v>
      </c>
    </row>
    <row r="471" spans="4:7" x14ac:dyDescent="0.35">
      <c r="D471" s="1">
        <v>45031</v>
      </c>
      <c r="E471">
        <v>35</v>
      </c>
      <c r="F471">
        <v>50.97</v>
      </c>
      <c r="G471">
        <v>184.84</v>
      </c>
    </row>
    <row r="472" spans="4:7" x14ac:dyDescent="0.35">
      <c r="D472" s="1">
        <v>45032</v>
      </c>
      <c r="E472">
        <v>34</v>
      </c>
      <c r="F472">
        <v>42.91</v>
      </c>
      <c r="G472">
        <v>143.66999999999999</v>
      </c>
    </row>
    <row r="473" spans="4:7" x14ac:dyDescent="0.35">
      <c r="D473" s="1">
        <v>45033</v>
      </c>
      <c r="E473">
        <v>37</v>
      </c>
      <c r="F473">
        <v>39.94</v>
      </c>
      <c r="G473">
        <v>211.82</v>
      </c>
    </row>
    <row r="474" spans="4:7" x14ac:dyDescent="0.35">
      <c r="D474" s="1">
        <v>45034</v>
      </c>
      <c r="E474">
        <v>39</v>
      </c>
      <c r="F474">
        <v>47.75</v>
      </c>
      <c r="G474">
        <v>225.94</v>
      </c>
    </row>
    <row r="475" spans="4:7" x14ac:dyDescent="0.35">
      <c r="D475" s="1">
        <v>45035</v>
      </c>
      <c r="E475">
        <v>31</v>
      </c>
      <c r="F475">
        <v>50.17</v>
      </c>
      <c r="G475">
        <v>226.9</v>
      </c>
    </row>
    <row r="476" spans="4:7" x14ac:dyDescent="0.35">
      <c r="D476" s="1">
        <v>45036</v>
      </c>
      <c r="E476">
        <v>38</v>
      </c>
      <c r="F476">
        <v>47.08</v>
      </c>
      <c r="G476">
        <v>161.26</v>
      </c>
    </row>
    <row r="477" spans="4:7" x14ac:dyDescent="0.35">
      <c r="D477" s="1">
        <v>45037</v>
      </c>
      <c r="E477">
        <v>27</v>
      </c>
      <c r="F477">
        <v>49.41</v>
      </c>
      <c r="G477">
        <v>164.92</v>
      </c>
    </row>
    <row r="478" spans="4:7" x14ac:dyDescent="0.35">
      <c r="D478" s="1">
        <v>45038</v>
      </c>
      <c r="E478">
        <v>37</v>
      </c>
      <c r="F478">
        <v>50.67</v>
      </c>
      <c r="G478">
        <v>180.58</v>
      </c>
    </row>
    <row r="479" spans="4:7" x14ac:dyDescent="0.35">
      <c r="D479" s="1">
        <v>45039</v>
      </c>
      <c r="E479">
        <v>31</v>
      </c>
      <c r="F479">
        <v>54.6</v>
      </c>
      <c r="G479">
        <v>214.46</v>
      </c>
    </row>
    <row r="480" spans="4:7" x14ac:dyDescent="0.35">
      <c r="D480" s="1">
        <v>45040</v>
      </c>
      <c r="E480">
        <v>27</v>
      </c>
      <c r="F480">
        <v>44.47</v>
      </c>
      <c r="G480">
        <v>161.25</v>
      </c>
    </row>
    <row r="481" spans="4:7" x14ac:dyDescent="0.35">
      <c r="D481" s="1">
        <v>45041</v>
      </c>
      <c r="E481">
        <v>31</v>
      </c>
      <c r="F481">
        <v>48.46</v>
      </c>
      <c r="G481">
        <v>199.94</v>
      </c>
    </row>
    <row r="482" spans="4:7" x14ac:dyDescent="0.35">
      <c r="D482" s="1">
        <v>45042</v>
      </c>
      <c r="E482">
        <v>31</v>
      </c>
      <c r="F482">
        <v>40.200000000000003</v>
      </c>
      <c r="G482">
        <v>145.69999999999999</v>
      </c>
    </row>
    <row r="483" spans="4:7" x14ac:dyDescent="0.35">
      <c r="D483" s="1">
        <v>45043</v>
      </c>
      <c r="E483">
        <v>36</v>
      </c>
      <c r="F483">
        <v>51.23</v>
      </c>
      <c r="G483">
        <v>231.54</v>
      </c>
    </row>
    <row r="484" spans="4:7" x14ac:dyDescent="0.35">
      <c r="D484" s="1">
        <v>45044</v>
      </c>
      <c r="E484">
        <v>37</v>
      </c>
      <c r="F484">
        <v>52.3</v>
      </c>
      <c r="G484">
        <v>197.38</v>
      </c>
    </row>
    <row r="485" spans="4:7" x14ac:dyDescent="0.35">
      <c r="D485" s="1">
        <v>45045</v>
      </c>
      <c r="E485">
        <v>30</v>
      </c>
      <c r="F485">
        <v>39.1</v>
      </c>
      <c r="G485">
        <v>193.28</v>
      </c>
    </row>
    <row r="486" spans="4:7" x14ac:dyDescent="0.35">
      <c r="D486" s="1">
        <v>45046</v>
      </c>
      <c r="E486">
        <v>36</v>
      </c>
      <c r="F486">
        <v>49.31</v>
      </c>
      <c r="G486">
        <v>158.26</v>
      </c>
    </row>
    <row r="487" spans="4:7" x14ac:dyDescent="0.35">
      <c r="D487" s="1">
        <v>45047</v>
      </c>
      <c r="E487">
        <v>28</v>
      </c>
      <c r="F487">
        <v>49.53</v>
      </c>
      <c r="G487">
        <v>153.77000000000001</v>
      </c>
    </row>
    <row r="488" spans="4:7" x14ac:dyDescent="0.35">
      <c r="D488" s="1">
        <v>45048</v>
      </c>
      <c r="E488">
        <v>39</v>
      </c>
      <c r="F488">
        <v>54.27</v>
      </c>
      <c r="G488">
        <v>135.74</v>
      </c>
    </row>
    <row r="489" spans="4:7" x14ac:dyDescent="0.35">
      <c r="D489" s="1">
        <v>45049</v>
      </c>
      <c r="E489">
        <v>29</v>
      </c>
      <c r="F489">
        <v>42.73</v>
      </c>
      <c r="G489">
        <v>194.33</v>
      </c>
    </row>
    <row r="490" spans="4:7" x14ac:dyDescent="0.35">
      <c r="D490" s="1">
        <v>45050</v>
      </c>
      <c r="E490">
        <v>37</v>
      </c>
      <c r="F490">
        <v>54.29</v>
      </c>
      <c r="G490">
        <v>148.13999999999999</v>
      </c>
    </row>
    <row r="491" spans="4:7" x14ac:dyDescent="0.35">
      <c r="D491" s="1">
        <v>45051</v>
      </c>
      <c r="E491">
        <v>37</v>
      </c>
      <c r="F491">
        <v>39.619999999999997</v>
      </c>
      <c r="G491">
        <v>141.72999999999999</v>
      </c>
    </row>
    <row r="492" spans="4:7" x14ac:dyDescent="0.35">
      <c r="D492" s="1">
        <v>45052</v>
      </c>
      <c r="E492">
        <v>33</v>
      </c>
      <c r="F492">
        <v>53.08</v>
      </c>
      <c r="G492">
        <v>189.26</v>
      </c>
    </row>
    <row r="493" spans="4:7" x14ac:dyDescent="0.35">
      <c r="D493" s="1">
        <v>45053</v>
      </c>
      <c r="E493">
        <v>38</v>
      </c>
      <c r="F493">
        <v>44.57</v>
      </c>
      <c r="G493">
        <v>179.69</v>
      </c>
    </row>
    <row r="494" spans="4:7" x14ac:dyDescent="0.35">
      <c r="D494" s="1">
        <v>45054</v>
      </c>
      <c r="E494">
        <v>29</v>
      </c>
      <c r="F494">
        <v>37.630000000000003</v>
      </c>
      <c r="G494">
        <v>166.13</v>
      </c>
    </row>
    <row r="495" spans="4:7" x14ac:dyDescent="0.35">
      <c r="D495" s="1">
        <v>45055</v>
      </c>
      <c r="E495">
        <v>34</v>
      </c>
      <c r="F495">
        <v>42.56</v>
      </c>
      <c r="G495">
        <v>166.33</v>
      </c>
    </row>
    <row r="496" spans="4:7" x14ac:dyDescent="0.35">
      <c r="D496" s="1">
        <v>45056</v>
      </c>
      <c r="E496">
        <v>34</v>
      </c>
      <c r="F496">
        <v>47.95</v>
      </c>
      <c r="G496">
        <v>213.86</v>
      </c>
    </row>
    <row r="497" spans="4:7" x14ac:dyDescent="0.35">
      <c r="D497" s="1">
        <v>45057</v>
      </c>
      <c r="E497">
        <v>36</v>
      </c>
      <c r="F497">
        <v>54.7</v>
      </c>
      <c r="G497">
        <v>168.76</v>
      </c>
    </row>
    <row r="498" spans="4:7" x14ac:dyDescent="0.35">
      <c r="D498" s="1">
        <v>45058</v>
      </c>
      <c r="E498">
        <v>32</v>
      </c>
      <c r="F498">
        <v>52.01</v>
      </c>
      <c r="G498">
        <v>148.1</v>
      </c>
    </row>
    <row r="499" spans="4:7" x14ac:dyDescent="0.35">
      <c r="D499" s="1">
        <v>45059</v>
      </c>
      <c r="E499">
        <v>33</v>
      </c>
      <c r="F499">
        <v>40.49</v>
      </c>
      <c r="G499">
        <v>233.8</v>
      </c>
    </row>
    <row r="500" spans="4:7" x14ac:dyDescent="0.35">
      <c r="D500" s="1">
        <v>45060</v>
      </c>
      <c r="E500">
        <v>32</v>
      </c>
      <c r="F500">
        <v>39.07</v>
      </c>
      <c r="G500">
        <v>223.36</v>
      </c>
    </row>
    <row r="501" spans="4:7" x14ac:dyDescent="0.35">
      <c r="D501" s="1">
        <v>45061</v>
      </c>
      <c r="E501">
        <v>30</v>
      </c>
      <c r="F501">
        <v>47</v>
      </c>
      <c r="G501">
        <v>219.04</v>
      </c>
    </row>
    <row r="502" spans="4:7" x14ac:dyDescent="0.35">
      <c r="D502" s="1">
        <v>45062</v>
      </c>
      <c r="E502">
        <v>29</v>
      </c>
      <c r="F502">
        <v>53.93</v>
      </c>
      <c r="G502">
        <v>149.27000000000001</v>
      </c>
    </row>
    <row r="503" spans="4:7" x14ac:dyDescent="0.35">
      <c r="D503" s="1">
        <v>45063</v>
      </c>
      <c r="E503">
        <v>35</v>
      </c>
      <c r="F503">
        <v>38.36</v>
      </c>
      <c r="G503">
        <v>201.44</v>
      </c>
    </row>
    <row r="504" spans="4:7" x14ac:dyDescent="0.35">
      <c r="D504" s="1">
        <v>45064</v>
      </c>
      <c r="E504">
        <v>36</v>
      </c>
      <c r="F504">
        <v>53.26</v>
      </c>
      <c r="G504">
        <v>150.62</v>
      </c>
    </row>
    <row r="505" spans="4:7" x14ac:dyDescent="0.35">
      <c r="D505" s="1">
        <v>45065</v>
      </c>
      <c r="E505">
        <v>30</v>
      </c>
      <c r="F505">
        <v>52.64</v>
      </c>
      <c r="G505">
        <v>224.44</v>
      </c>
    </row>
    <row r="506" spans="4:7" x14ac:dyDescent="0.35">
      <c r="D506" s="1">
        <v>45066</v>
      </c>
      <c r="E506">
        <v>35</v>
      </c>
      <c r="F506">
        <v>54.84</v>
      </c>
      <c r="G506">
        <v>217.11</v>
      </c>
    </row>
    <row r="507" spans="4:7" x14ac:dyDescent="0.35">
      <c r="D507" s="1">
        <v>45067</v>
      </c>
      <c r="E507">
        <v>29</v>
      </c>
      <c r="F507">
        <v>45.17</v>
      </c>
      <c r="G507">
        <v>187.37</v>
      </c>
    </row>
    <row r="508" spans="4:7" x14ac:dyDescent="0.35">
      <c r="D508" s="1">
        <v>45068</v>
      </c>
      <c r="E508">
        <v>39</v>
      </c>
      <c r="F508">
        <v>37.729999999999997</v>
      </c>
      <c r="G508">
        <v>175.97</v>
      </c>
    </row>
    <row r="509" spans="4:7" x14ac:dyDescent="0.35">
      <c r="D509" s="1">
        <v>45069</v>
      </c>
      <c r="E509">
        <v>31</v>
      </c>
      <c r="F509">
        <v>52.07</v>
      </c>
      <c r="G509">
        <v>141.44</v>
      </c>
    </row>
    <row r="510" spans="4:7" x14ac:dyDescent="0.35">
      <c r="D510" s="1">
        <v>45070</v>
      </c>
      <c r="E510">
        <v>34</v>
      </c>
      <c r="F510">
        <v>54.42</v>
      </c>
      <c r="G510">
        <v>224.44</v>
      </c>
    </row>
    <row r="511" spans="4:7" x14ac:dyDescent="0.35">
      <c r="D511" s="1">
        <v>45071</v>
      </c>
      <c r="E511">
        <v>38</v>
      </c>
      <c r="F511">
        <v>47.49</v>
      </c>
      <c r="G511">
        <v>191.5</v>
      </c>
    </row>
    <row r="512" spans="4:7" x14ac:dyDescent="0.35">
      <c r="D512" s="1">
        <v>45072</v>
      </c>
      <c r="E512">
        <v>38</v>
      </c>
      <c r="F512">
        <v>48.66</v>
      </c>
      <c r="G512">
        <v>196.45</v>
      </c>
    </row>
    <row r="513" spans="4:7" x14ac:dyDescent="0.35">
      <c r="D513" s="1">
        <v>45073</v>
      </c>
      <c r="E513">
        <v>39</v>
      </c>
      <c r="F513">
        <v>47.54</v>
      </c>
      <c r="G513">
        <v>160.66</v>
      </c>
    </row>
    <row r="514" spans="4:7" x14ac:dyDescent="0.35">
      <c r="D514" s="1">
        <v>45074</v>
      </c>
      <c r="E514">
        <v>36</v>
      </c>
      <c r="F514">
        <v>42.76</v>
      </c>
      <c r="G514">
        <v>159.26</v>
      </c>
    </row>
    <row r="515" spans="4:7" x14ac:dyDescent="0.35">
      <c r="D515" s="1">
        <v>45075</v>
      </c>
      <c r="E515">
        <v>33</v>
      </c>
      <c r="F515">
        <v>37.04</v>
      </c>
      <c r="G515">
        <v>191.79</v>
      </c>
    </row>
    <row r="516" spans="4:7" x14ac:dyDescent="0.35">
      <c r="D516" s="1">
        <v>45076</v>
      </c>
      <c r="E516">
        <v>37</v>
      </c>
      <c r="F516">
        <v>40.380000000000003</v>
      </c>
      <c r="G516">
        <v>166.7</v>
      </c>
    </row>
    <row r="517" spans="4:7" x14ac:dyDescent="0.35">
      <c r="D517" s="1">
        <v>45077</v>
      </c>
      <c r="E517">
        <v>36</v>
      </c>
      <c r="F517">
        <v>45.85</v>
      </c>
      <c r="G517">
        <v>206.66</v>
      </c>
    </row>
    <row r="518" spans="4:7" x14ac:dyDescent="0.35">
      <c r="D518" s="1">
        <v>45078</v>
      </c>
      <c r="E518">
        <v>34</v>
      </c>
      <c r="F518">
        <v>51.79</v>
      </c>
      <c r="G518">
        <v>199.99</v>
      </c>
    </row>
    <row r="519" spans="4:7" x14ac:dyDescent="0.35">
      <c r="D519" s="1">
        <v>45079</v>
      </c>
      <c r="E519">
        <v>31</v>
      </c>
      <c r="F519">
        <v>46.07</v>
      </c>
      <c r="G519">
        <v>172.66</v>
      </c>
    </row>
    <row r="520" spans="4:7" x14ac:dyDescent="0.35">
      <c r="D520" s="1">
        <v>45080</v>
      </c>
      <c r="E520">
        <v>30</v>
      </c>
      <c r="F520">
        <v>53.14</v>
      </c>
      <c r="G520">
        <v>174.07</v>
      </c>
    </row>
    <row r="521" spans="4:7" x14ac:dyDescent="0.35">
      <c r="D521" s="1">
        <v>45081</v>
      </c>
      <c r="E521">
        <v>32</v>
      </c>
      <c r="F521">
        <v>53.19</v>
      </c>
      <c r="G521">
        <v>209.77</v>
      </c>
    </row>
    <row r="522" spans="4:7" x14ac:dyDescent="0.35">
      <c r="D522" s="1">
        <v>45082</v>
      </c>
      <c r="E522">
        <v>30</v>
      </c>
      <c r="F522">
        <v>46.07</v>
      </c>
      <c r="G522">
        <v>220.26</v>
      </c>
    </row>
    <row r="523" spans="4:7" x14ac:dyDescent="0.35">
      <c r="D523" s="1">
        <v>45083</v>
      </c>
      <c r="E523">
        <v>40</v>
      </c>
      <c r="F523">
        <v>52.86</v>
      </c>
      <c r="G523">
        <v>161.22</v>
      </c>
    </row>
    <row r="524" spans="4:7" x14ac:dyDescent="0.35">
      <c r="D524" s="1">
        <v>45084</v>
      </c>
      <c r="E524">
        <v>36</v>
      </c>
      <c r="F524">
        <v>40.31</v>
      </c>
      <c r="G524">
        <v>162.54</v>
      </c>
    </row>
    <row r="525" spans="4:7" x14ac:dyDescent="0.35">
      <c r="D525" s="1">
        <v>45085</v>
      </c>
      <c r="E525">
        <v>36</v>
      </c>
      <c r="F525">
        <v>41.1</v>
      </c>
      <c r="G525">
        <v>139.38</v>
      </c>
    </row>
    <row r="526" spans="4:7" x14ac:dyDescent="0.35">
      <c r="D526" s="1">
        <v>45086</v>
      </c>
      <c r="E526">
        <v>33</v>
      </c>
      <c r="F526">
        <v>51.81</v>
      </c>
      <c r="G526">
        <v>181.39</v>
      </c>
    </row>
    <row r="527" spans="4:7" x14ac:dyDescent="0.35">
      <c r="D527" s="1">
        <v>45087</v>
      </c>
      <c r="E527">
        <v>36</v>
      </c>
      <c r="F527">
        <v>47.12</v>
      </c>
      <c r="G527">
        <v>216.67</v>
      </c>
    </row>
    <row r="528" spans="4:7" x14ac:dyDescent="0.35">
      <c r="D528" s="1">
        <v>45088</v>
      </c>
      <c r="E528">
        <v>29</v>
      </c>
      <c r="F528">
        <v>50.41</v>
      </c>
      <c r="G528">
        <v>179.74</v>
      </c>
    </row>
    <row r="529" spans="4:7" x14ac:dyDescent="0.35">
      <c r="D529" s="1">
        <v>45089</v>
      </c>
      <c r="E529">
        <v>33</v>
      </c>
      <c r="F529">
        <v>48.23</v>
      </c>
      <c r="G529">
        <v>220.67</v>
      </c>
    </row>
    <row r="530" spans="4:7" x14ac:dyDescent="0.35">
      <c r="D530" s="1">
        <v>45090</v>
      </c>
      <c r="E530">
        <v>38</v>
      </c>
      <c r="F530">
        <v>50.85</v>
      </c>
      <c r="G530">
        <v>191.31</v>
      </c>
    </row>
    <row r="531" spans="4:7" x14ac:dyDescent="0.35">
      <c r="D531" s="1">
        <v>45091</v>
      </c>
      <c r="E531">
        <v>39</v>
      </c>
      <c r="F531">
        <v>47.66</v>
      </c>
      <c r="G531">
        <v>230.76</v>
      </c>
    </row>
    <row r="532" spans="4:7" x14ac:dyDescent="0.35">
      <c r="D532" s="1">
        <v>45092</v>
      </c>
      <c r="E532">
        <v>34</v>
      </c>
      <c r="F532">
        <v>49.95</v>
      </c>
      <c r="G532">
        <v>225.33</v>
      </c>
    </row>
    <row r="533" spans="4:7" x14ac:dyDescent="0.35">
      <c r="D533" s="1">
        <v>45093</v>
      </c>
      <c r="E533">
        <v>32</v>
      </c>
      <c r="F533">
        <v>44.77</v>
      </c>
      <c r="G533">
        <v>229</v>
      </c>
    </row>
    <row r="534" spans="4:7" x14ac:dyDescent="0.35">
      <c r="D534" s="1">
        <v>45094</v>
      </c>
      <c r="E534">
        <v>29</v>
      </c>
      <c r="F534">
        <v>44.3</v>
      </c>
      <c r="G534">
        <v>185.39</v>
      </c>
    </row>
    <row r="535" spans="4:7" x14ac:dyDescent="0.35">
      <c r="D535" s="1">
        <v>45095</v>
      </c>
      <c r="E535">
        <v>35</v>
      </c>
      <c r="F535">
        <v>49.01</v>
      </c>
      <c r="G535">
        <v>184.21</v>
      </c>
    </row>
    <row r="536" spans="4:7" x14ac:dyDescent="0.35">
      <c r="D536" s="1">
        <v>45096</v>
      </c>
      <c r="E536">
        <v>39</v>
      </c>
      <c r="F536">
        <v>47.55</v>
      </c>
      <c r="G536">
        <v>153.13999999999999</v>
      </c>
    </row>
    <row r="537" spans="4:7" x14ac:dyDescent="0.35">
      <c r="D537" s="1">
        <v>45097</v>
      </c>
      <c r="E537">
        <v>38</v>
      </c>
      <c r="F537">
        <v>38.700000000000003</v>
      </c>
      <c r="G537">
        <v>189.25</v>
      </c>
    </row>
    <row r="538" spans="4:7" x14ac:dyDescent="0.35">
      <c r="D538" s="1">
        <v>45098</v>
      </c>
      <c r="E538">
        <v>30</v>
      </c>
      <c r="F538">
        <v>41.15</v>
      </c>
      <c r="G538">
        <v>150.79</v>
      </c>
    </row>
    <row r="539" spans="4:7" x14ac:dyDescent="0.35">
      <c r="D539" s="1">
        <v>45099</v>
      </c>
      <c r="E539">
        <v>33</v>
      </c>
      <c r="F539">
        <v>38.6</v>
      </c>
      <c r="G539">
        <v>154.88999999999999</v>
      </c>
    </row>
    <row r="540" spans="4:7" x14ac:dyDescent="0.35">
      <c r="D540" s="1">
        <v>45100</v>
      </c>
      <c r="E540">
        <v>40</v>
      </c>
      <c r="F540">
        <v>39.75</v>
      </c>
      <c r="G540">
        <v>158.51</v>
      </c>
    </row>
    <row r="541" spans="4:7" x14ac:dyDescent="0.35">
      <c r="D541" s="1">
        <v>45101</v>
      </c>
      <c r="E541">
        <v>33</v>
      </c>
      <c r="F541">
        <v>46.87</v>
      </c>
      <c r="G541">
        <v>169.88</v>
      </c>
    </row>
    <row r="542" spans="4:7" x14ac:dyDescent="0.35">
      <c r="D542" s="1">
        <v>45102</v>
      </c>
      <c r="E542">
        <v>29</v>
      </c>
      <c r="F542">
        <v>50.32</v>
      </c>
      <c r="G542">
        <v>188.86</v>
      </c>
    </row>
    <row r="543" spans="4:7" x14ac:dyDescent="0.35">
      <c r="D543" s="1">
        <v>45103</v>
      </c>
      <c r="E543">
        <v>38</v>
      </c>
      <c r="F543">
        <v>47.75</v>
      </c>
      <c r="G543">
        <v>214.79</v>
      </c>
    </row>
    <row r="544" spans="4:7" x14ac:dyDescent="0.35">
      <c r="D544" s="1">
        <v>45104</v>
      </c>
      <c r="E544">
        <v>36</v>
      </c>
      <c r="F544">
        <v>46.06</v>
      </c>
      <c r="G544">
        <v>202.34</v>
      </c>
    </row>
    <row r="545" spans="4:7" x14ac:dyDescent="0.35">
      <c r="D545" s="1">
        <v>45105</v>
      </c>
      <c r="E545">
        <v>36</v>
      </c>
      <c r="F545">
        <v>40.6</v>
      </c>
      <c r="G545">
        <v>140.80000000000001</v>
      </c>
    </row>
    <row r="546" spans="4:7" x14ac:dyDescent="0.35">
      <c r="D546" s="1">
        <v>45106</v>
      </c>
      <c r="E546">
        <v>36</v>
      </c>
      <c r="F546">
        <v>38.229999999999997</v>
      </c>
      <c r="G546">
        <v>197.28</v>
      </c>
    </row>
    <row r="547" spans="4:7" x14ac:dyDescent="0.35">
      <c r="D547" s="1">
        <v>45107</v>
      </c>
      <c r="E547">
        <v>41</v>
      </c>
      <c r="F547">
        <v>51.52</v>
      </c>
      <c r="G547">
        <v>181.37</v>
      </c>
    </row>
    <row r="548" spans="4:7" x14ac:dyDescent="0.35">
      <c r="D548" s="1">
        <v>45108</v>
      </c>
      <c r="E548">
        <v>40</v>
      </c>
      <c r="F548">
        <v>50.8</v>
      </c>
      <c r="G548">
        <v>142.12</v>
      </c>
    </row>
    <row r="549" spans="4:7" x14ac:dyDescent="0.35">
      <c r="D549" s="1">
        <v>45109</v>
      </c>
      <c r="E549">
        <v>35</v>
      </c>
      <c r="F549">
        <v>49.21</v>
      </c>
      <c r="G549">
        <v>213.67</v>
      </c>
    </row>
    <row r="550" spans="4:7" x14ac:dyDescent="0.35">
      <c r="D550" s="1">
        <v>45110</v>
      </c>
      <c r="E550">
        <v>39</v>
      </c>
      <c r="F550">
        <v>42.88</v>
      </c>
      <c r="G550">
        <v>174.88</v>
      </c>
    </row>
    <row r="551" spans="4:7" x14ac:dyDescent="0.35">
      <c r="D551" s="1">
        <v>45111</v>
      </c>
      <c r="E551">
        <v>36</v>
      </c>
      <c r="F551">
        <v>49.39</v>
      </c>
      <c r="G551">
        <v>142.71</v>
      </c>
    </row>
    <row r="552" spans="4:7" x14ac:dyDescent="0.35">
      <c r="D552" s="1">
        <v>45112</v>
      </c>
      <c r="E552">
        <v>41</v>
      </c>
      <c r="F552">
        <v>44.78</v>
      </c>
      <c r="G552">
        <v>179.32</v>
      </c>
    </row>
    <row r="553" spans="4:7" x14ac:dyDescent="0.35">
      <c r="D553" s="1">
        <v>45113</v>
      </c>
      <c r="E553">
        <v>30</v>
      </c>
      <c r="F553">
        <v>47</v>
      </c>
      <c r="G553">
        <v>230.3</v>
      </c>
    </row>
    <row r="554" spans="4:7" x14ac:dyDescent="0.35">
      <c r="D554" s="1">
        <v>45114</v>
      </c>
      <c r="E554">
        <v>34</v>
      </c>
      <c r="F554">
        <v>53.65</v>
      </c>
      <c r="G554">
        <v>146.01</v>
      </c>
    </row>
    <row r="555" spans="4:7" x14ac:dyDescent="0.35">
      <c r="D555" s="1">
        <v>45115</v>
      </c>
      <c r="E555">
        <v>39</v>
      </c>
      <c r="F555">
        <v>55.15</v>
      </c>
      <c r="G555">
        <v>213.74</v>
      </c>
    </row>
    <row r="556" spans="4:7" x14ac:dyDescent="0.35">
      <c r="D556" s="1">
        <v>45116</v>
      </c>
      <c r="E556">
        <v>33</v>
      </c>
      <c r="F556">
        <v>54.99</v>
      </c>
      <c r="G556">
        <v>169.11</v>
      </c>
    </row>
    <row r="557" spans="4:7" x14ac:dyDescent="0.35">
      <c r="D557" s="1">
        <v>45117</v>
      </c>
      <c r="E557">
        <v>30</v>
      </c>
      <c r="F557">
        <v>44.95</v>
      </c>
      <c r="G557">
        <v>154.36000000000001</v>
      </c>
    </row>
    <row r="558" spans="4:7" x14ac:dyDescent="0.35">
      <c r="D558" s="1">
        <v>45118</v>
      </c>
      <c r="E558">
        <v>38</v>
      </c>
      <c r="F558">
        <v>38.4</v>
      </c>
      <c r="G558">
        <v>150.77000000000001</v>
      </c>
    </row>
    <row r="559" spans="4:7" x14ac:dyDescent="0.35">
      <c r="D559" s="1">
        <v>45119</v>
      </c>
      <c r="E559">
        <v>34</v>
      </c>
      <c r="F559">
        <v>51.28</v>
      </c>
      <c r="G559">
        <v>198.76</v>
      </c>
    </row>
    <row r="560" spans="4:7" x14ac:dyDescent="0.35">
      <c r="D560" s="1">
        <v>45120</v>
      </c>
      <c r="E560">
        <v>38</v>
      </c>
      <c r="F560">
        <v>43.8</v>
      </c>
      <c r="G560">
        <v>153.47999999999999</v>
      </c>
    </row>
    <row r="561" spans="4:7" x14ac:dyDescent="0.35">
      <c r="D561" s="1">
        <v>45121</v>
      </c>
      <c r="E561">
        <v>34</v>
      </c>
      <c r="F561">
        <v>42.38</v>
      </c>
      <c r="G561">
        <v>220.09</v>
      </c>
    </row>
    <row r="562" spans="4:7" x14ac:dyDescent="0.35">
      <c r="D562" s="1">
        <v>45122</v>
      </c>
      <c r="E562">
        <v>37</v>
      </c>
      <c r="F562">
        <v>53.63</v>
      </c>
      <c r="G562">
        <v>211.39</v>
      </c>
    </row>
    <row r="563" spans="4:7" x14ac:dyDescent="0.35">
      <c r="D563" s="1">
        <v>45123</v>
      </c>
      <c r="E563">
        <v>41</v>
      </c>
      <c r="F563">
        <v>40.15</v>
      </c>
      <c r="G563">
        <v>207.92</v>
      </c>
    </row>
    <row r="564" spans="4:7" x14ac:dyDescent="0.35">
      <c r="D564" s="1">
        <v>45124</v>
      </c>
      <c r="E564">
        <v>33</v>
      </c>
      <c r="F564">
        <v>49.52</v>
      </c>
      <c r="G564">
        <v>232.91</v>
      </c>
    </row>
    <row r="565" spans="4:7" x14ac:dyDescent="0.35">
      <c r="D565" s="1">
        <v>45125</v>
      </c>
      <c r="E565">
        <v>39</v>
      </c>
      <c r="F565">
        <v>51.5</v>
      </c>
      <c r="G565">
        <v>226.01</v>
      </c>
    </row>
    <row r="566" spans="4:7" x14ac:dyDescent="0.35">
      <c r="D566" s="1">
        <v>45126</v>
      </c>
      <c r="E566">
        <v>35</v>
      </c>
      <c r="F566">
        <v>51.62</v>
      </c>
      <c r="G566">
        <v>221.94</v>
      </c>
    </row>
    <row r="567" spans="4:7" x14ac:dyDescent="0.35">
      <c r="D567" s="1">
        <v>45127</v>
      </c>
      <c r="E567">
        <v>32</v>
      </c>
      <c r="F567">
        <v>36.53</v>
      </c>
      <c r="G567">
        <v>202.79</v>
      </c>
    </row>
    <row r="568" spans="4:7" x14ac:dyDescent="0.35">
      <c r="D568" s="1">
        <v>45128</v>
      </c>
      <c r="E568">
        <v>41</v>
      </c>
      <c r="F568">
        <v>37.21</v>
      </c>
      <c r="G568">
        <v>234.39</v>
      </c>
    </row>
    <row r="569" spans="4:7" x14ac:dyDescent="0.35">
      <c r="D569" s="1">
        <v>45129</v>
      </c>
      <c r="E569">
        <v>32</v>
      </c>
      <c r="F569">
        <v>44.91</v>
      </c>
      <c r="G569">
        <v>203.47</v>
      </c>
    </row>
    <row r="570" spans="4:7" x14ac:dyDescent="0.35">
      <c r="D570" s="1">
        <v>45130</v>
      </c>
      <c r="E570">
        <v>32</v>
      </c>
      <c r="F570">
        <v>43.6</v>
      </c>
      <c r="G570">
        <v>180.83</v>
      </c>
    </row>
    <row r="571" spans="4:7" x14ac:dyDescent="0.35">
      <c r="D571" s="1">
        <v>45131</v>
      </c>
      <c r="E571">
        <v>36</v>
      </c>
      <c r="F571">
        <v>51.65</v>
      </c>
      <c r="G571">
        <v>197.21</v>
      </c>
    </row>
    <row r="572" spans="4:7" x14ac:dyDescent="0.35">
      <c r="D572" s="1">
        <v>45132</v>
      </c>
      <c r="E572">
        <v>36</v>
      </c>
      <c r="F572">
        <v>39.31</v>
      </c>
      <c r="G572">
        <v>182.43</v>
      </c>
    </row>
    <row r="573" spans="4:7" x14ac:dyDescent="0.35">
      <c r="D573" s="1">
        <v>45133</v>
      </c>
      <c r="E573">
        <v>42</v>
      </c>
      <c r="F573">
        <v>49.19</v>
      </c>
      <c r="G573">
        <v>231.31</v>
      </c>
    </row>
    <row r="574" spans="4:7" x14ac:dyDescent="0.35">
      <c r="D574" s="1">
        <v>45134</v>
      </c>
      <c r="E574">
        <v>30</v>
      </c>
      <c r="F574">
        <v>45.96</v>
      </c>
      <c r="G574">
        <v>173.39</v>
      </c>
    </row>
    <row r="575" spans="4:7" x14ac:dyDescent="0.35">
      <c r="D575" s="1">
        <v>45135</v>
      </c>
      <c r="E575">
        <v>37</v>
      </c>
      <c r="F575">
        <v>36.520000000000003</v>
      </c>
      <c r="G575">
        <v>177.69</v>
      </c>
    </row>
    <row r="576" spans="4:7" x14ac:dyDescent="0.35">
      <c r="D576" s="1">
        <v>45136</v>
      </c>
      <c r="E576">
        <v>40</v>
      </c>
      <c r="F576">
        <v>54.98</v>
      </c>
      <c r="G576">
        <v>201.19</v>
      </c>
    </row>
    <row r="577" spans="4:7" x14ac:dyDescent="0.35">
      <c r="D577" s="1">
        <v>45137</v>
      </c>
      <c r="E577">
        <v>34</v>
      </c>
      <c r="F577">
        <v>40.659999999999997</v>
      </c>
      <c r="G577">
        <v>156.11000000000001</v>
      </c>
    </row>
    <row r="578" spans="4:7" x14ac:dyDescent="0.35">
      <c r="D578" s="1">
        <v>45138</v>
      </c>
      <c r="E578">
        <v>36</v>
      </c>
      <c r="F578">
        <v>42.54</v>
      </c>
      <c r="G578">
        <v>134.96</v>
      </c>
    </row>
    <row r="579" spans="4:7" x14ac:dyDescent="0.35">
      <c r="D579" s="1">
        <v>45139</v>
      </c>
      <c r="E579">
        <v>34</v>
      </c>
      <c r="F579">
        <v>37.64</v>
      </c>
      <c r="G579">
        <v>183.56</v>
      </c>
    </row>
    <row r="580" spans="4:7" x14ac:dyDescent="0.35">
      <c r="D580" s="1">
        <v>45140</v>
      </c>
      <c r="E580">
        <v>41</v>
      </c>
      <c r="F580">
        <v>41.99</v>
      </c>
      <c r="G580">
        <v>159.15</v>
      </c>
    </row>
    <row r="581" spans="4:7" x14ac:dyDescent="0.35">
      <c r="D581" s="1">
        <v>45141</v>
      </c>
      <c r="E581">
        <v>37</v>
      </c>
      <c r="F581">
        <v>38.29</v>
      </c>
      <c r="G581">
        <v>152.69</v>
      </c>
    </row>
    <row r="582" spans="4:7" x14ac:dyDescent="0.35">
      <c r="D582" s="1">
        <v>45142</v>
      </c>
      <c r="E582">
        <v>36</v>
      </c>
      <c r="F582">
        <v>42.42</v>
      </c>
      <c r="G582">
        <v>199.91</v>
      </c>
    </row>
    <row r="583" spans="4:7" x14ac:dyDescent="0.35">
      <c r="D583" s="1">
        <v>45143</v>
      </c>
      <c r="E583">
        <v>31</v>
      </c>
      <c r="F583">
        <v>44.76</v>
      </c>
      <c r="G583">
        <v>150.32</v>
      </c>
    </row>
    <row r="584" spans="4:7" x14ac:dyDescent="0.35">
      <c r="D584" s="1">
        <v>45144</v>
      </c>
      <c r="E584">
        <v>32</v>
      </c>
      <c r="F584">
        <v>47.6</v>
      </c>
      <c r="G584">
        <v>200.91</v>
      </c>
    </row>
    <row r="585" spans="4:7" x14ac:dyDescent="0.35">
      <c r="D585" s="1">
        <v>45145</v>
      </c>
      <c r="E585">
        <v>41</v>
      </c>
      <c r="F585">
        <v>40.74</v>
      </c>
      <c r="G585">
        <v>142.81</v>
      </c>
    </row>
    <row r="586" spans="4:7" x14ac:dyDescent="0.35">
      <c r="D586" s="1">
        <v>45146</v>
      </c>
      <c r="E586">
        <v>36</v>
      </c>
      <c r="F586">
        <v>55.51</v>
      </c>
      <c r="G586">
        <v>175.26</v>
      </c>
    </row>
    <row r="587" spans="4:7" x14ac:dyDescent="0.35">
      <c r="D587" s="1">
        <v>45147</v>
      </c>
      <c r="E587">
        <v>42</v>
      </c>
      <c r="F587">
        <v>45.94</v>
      </c>
      <c r="G587">
        <v>189.46</v>
      </c>
    </row>
    <row r="588" spans="4:7" x14ac:dyDescent="0.35">
      <c r="D588" s="1">
        <v>45148</v>
      </c>
      <c r="E588">
        <v>40</v>
      </c>
      <c r="F588">
        <v>51.37</v>
      </c>
      <c r="G588">
        <v>147.49</v>
      </c>
    </row>
    <row r="589" spans="4:7" x14ac:dyDescent="0.35">
      <c r="D589" s="1">
        <v>45149</v>
      </c>
      <c r="E589">
        <v>39</v>
      </c>
      <c r="F589">
        <v>41.31</v>
      </c>
      <c r="G589">
        <v>166.67</v>
      </c>
    </row>
    <row r="590" spans="4:7" x14ac:dyDescent="0.35">
      <c r="D590" s="1">
        <v>45150</v>
      </c>
      <c r="E590">
        <v>42</v>
      </c>
      <c r="F590">
        <v>38.69</v>
      </c>
      <c r="G590">
        <v>183.61</v>
      </c>
    </row>
    <row r="591" spans="4:7" x14ac:dyDescent="0.35">
      <c r="D591" s="1">
        <v>45151</v>
      </c>
      <c r="E591">
        <v>32</v>
      </c>
      <c r="F591">
        <v>48.43</v>
      </c>
      <c r="G591">
        <v>143.66999999999999</v>
      </c>
    </row>
    <row r="592" spans="4:7" x14ac:dyDescent="0.35">
      <c r="D592" s="1">
        <v>45152</v>
      </c>
      <c r="E592">
        <v>39</v>
      </c>
      <c r="F592">
        <v>45.3</v>
      </c>
      <c r="G592">
        <v>176.67</v>
      </c>
    </row>
    <row r="593" spans="4:7" x14ac:dyDescent="0.35">
      <c r="D593" s="1">
        <v>45153</v>
      </c>
      <c r="E593">
        <v>39</v>
      </c>
      <c r="F593">
        <v>40.71</v>
      </c>
      <c r="G593">
        <v>175.64</v>
      </c>
    </row>
    <row r="594" spans="4:7" x14ac:dyDescent="0.35">
      <c r="D594" s="1">
        <v>45154</v>
      </c>
      <c r="E594">
        <v>40</v>
      </c>
      <c r="F594">
        <v>53.27</v>
      </c>
      <c r="G594">
        <v>143.16999999999999</v>
      </c>
    </row>
    <row r="595" spans="4:7" x14ac:dyDescent="0.35">
      <c r="D595" s="1">
        <v>45155</v>
      </c>
      <c r="E595">
        <v>41</v>
      </c>
      <c r="F595">
        <v>55.74</v>
      </c>
      <c r="G595">
        <v>191.58</v>
      </c>
    </row>
    <row r="596" spans="4:7" x14ac:dyDescent="0.35">
      <c r="D596" s="1">
        <v>45156</v>
      </c>
      <c r="E596">
        <v>35</v>
      </c>
      <c r="F596">
        <v>53.33</v>
      </c>
      <c r="G596">
        <v>145.43</v>
      </c>
    </row>
    <row r="597" spans="4:7" x14ac:dyDescent="0.35">
      <c r="D597" s="1">
        <v>45157</v>
      </c>
      <c r="E597">
        <v>32</v>
      </c>
      <c r="F597">
        <v>44.4</v>
      </c>
      <c r="G597">
        <v>176.66</v>
      </c>
    </row>
    <row r="598" spans="4:7" x14ac:dyDescent="0.35">
      <c r="D598" s="1">
        <v>45158</v>
      </c>
      <c r="E598">
        <v>37</v>
      </c>
      <c r="F598">
        <v>53.68</v>
      </c>
      <c r="G598">
        <v>204.13</v>
      </c>
    </row>
    <row r="599" spans="4:7" x14ac:dyDescent="0.35">
      <c r="D599" s="1">
        <v>45159</v>
      </c>
      <c r="E599">
        <v>33</v>
      </c>
      <c r="F599">
        <v>48.78</v>
      </c>
      <c r="G599">
        <v>217.11</v>
      </c>
    </row>
    <row r="600" spans="4:7" x14ac:dyDescent="0.35">
      <c r="D600" s="1">
        <v>45160</v>
      </c>
      <c r="E600">
        <v>43</v>
      </c>
      <c r="F600">
        <v>38.01</v>
      </c>
      <c r="G600">
        <v>210.07</v>
      </c>
    </row>
    <row r="601" spans="4:7" x14ac:dyDescent="0.35">
      <c r="D601" s="1">
        <v>45161</v>
      </c>
      <c r="E601">
        <v>37</v>
      </c>
      <c r="F601">
        <v>37.200000000000003</v>
      </c>
      <c r="G601">
        <v>142.78</v>
      </c>
    </row>
    <row r="602" spans="4:7" x14ac:dyDescent="0.35">
      <c r="D602" s="1">
        <v>45162</v>
      </c>
      <c r="E602">
        <v>33</v>
      </c>
      <c r="F602">
        <v>42.55</v>
      </c>
      <c r="G602">
        <v>186.51</v>
      </c>
    </row>
    <row r="603" spans="4:7" x14ac:dyDescent="0.35">
      <c r="D603" s="1">
        <v>45163</v>
      </c>
      <c r="E603">
        <v>36</v>
      </c>
      <c r="F603">
        <v>53.88</v>
      </c>
      <c r="G603">
        <v>221.54</v>
      </c>
    </row>
    <row r="604" spans="4:7" x14ac:dyDescent="0.35">
      <c r="D604" s="1">
        <v>45164</v>
      </c>
      <c r="E604">
        <v>40</v>
      </c>
      <c r="F604">
        <v>50.84</v>
      </c>
      <c r="G604">
        <v>203.3</v>
      </c>
    </row>
    <row r="605" spans="4:7" x14ac:dyDescent="0.35">
      <c r="D605" s="1">
        <v>45165</v>
      </c>
      <c r="E605">
        <v>34</v>
      </c>
      <c r="F605">
        <v>41.6</v>
      </c>
      <c r="G605">
        <v>163.93</v>
      </c>
    </row>
    <row r="606" spans="4:7" x14ac:dyDescent="0.35">
      <c r="D606" s="1">
        <v>45166</v>
      </c>
      <c r="E606">
        <v>31</v>
      </c>
      <c r="F606">
        <v>49.55</v>
      </c>
      <c r="G606">
        <v>161.94</v>
      </c>
    </row>
    <row r="607" spans="4:7" x14ac:dyDescent="0.35">
      <c r="D607" s="1">
        <v>45167</v>
      </c>
      <c r="E607">
        <v>39</v>
      </c>
      <c r="F607">
        <v>40.5</v>
      </c>
      <c r="G607">
        <v>185.64</v>
      </c>
    </row>
    <row r="608" spans="4:7" x14ac:dyDescent="0.35">
      <c r="D608" s="1">
        <v>45168</v>
      </c>
      <c r="E608">
        <v>40</v>
      </c>
      <c r="F608">
        <v>36.340000000000003</v>
      </c>
      <c r="G608">
        <v>215.75</v>
      </c>
    </row>
    <row r="609" spans="4:7" x14ac:dyDescent="0.35">
      <c r="D609" s="1">
        <v>45169</v>
      </c>
      <c r="E609">
        <v>40</v>
      </c>
      <c r="F609">
        <v>40.130000000000003</v>
      </c>
      <c r="G609">
        <v>183.06</v>
      </c>
    </row>
    <row r="610" spans="4:7" x14ac:dyDescent="0.35">
      <c r="D610" s="1">
        <v>45170</v>
      </c>
      <c r="E610">
        <v>39</v>
      </c>
      <c r="F610">
        <v>48.52</v>
      </c>
      <c r="G610">
        <v>222.56</v>
      </c>
    </row>
    <row r="611" spans="4:7" x14ac:dyDescent="0.35">
      <c r="D611" s="1">
        <v>45171</v>
      </c>
      <c r="E611">
        <v>37</v>
      </c>
      <c r="F611">
        <v>55.84</v>
      </c>
      <c r="G611">
        <v>141.28</v>
      </c>
    </row>
    <row r="612" spans="4:7" x14ac:dyDescent="0.35">
      <c r="D612" s="1">
        <v>45172</v>
      </c>
      <c r="E612">
        <v>38</v>
      </c>
      <c r="F612">
        <v>38.409999999999997</v>
      </c>
      <c r="G612">
        <v>228.39</v>
      </c>
    </row>
    <row r="613" spans="4:7" x14ac:dyDescent="0.35">
      <c r="D613" s="1">
        <v>45173</v>
      </c>
      <c r="E613">
        <v>41</v>
      </c>
      <c r="F613">
        <v>46.16</v>
      </c>
      <c r="G613">
        <v>221.75</v>
      </c>
    </row>
    <row r="614" spans="4:7" x14ac:dyDescent="0.35">
      <c r="D614" s="1">
        <v>45174</v>
      </c>
      <c r="E614">
        <v>40</v>
      </c>
      <c r="F614">
        <v>43.93</v>
      </c>
      <c r="G614">
        <v>220.96</v>
      </c>
    </row>
    <row r="615" spans="4:7" x14ac:dyDescent="0.35">
      <c r="D615" s="1">
        <v>45175</v>
      </c>
      <c r="E615">
        <v>42</v>
      </c>
      <c r="F615">
        <v>37.9</v>
      </c>
      <c r="G615">
        <v>208.05</v>
      </c>
    </row>
    <row r="616" spans="4:7" x14ac:dyDescent="0.35">
      <c r="D616" s="1">
        <v>45176</v>
      </c>
      <c r="E616">
        <v>39</v>
      </c>
      <c r="F616">
        <v>54.25</v>
      </c>
      <c r="G616">
        <v>197.4</v>
      </c>
    </row>
    <row r="617" spans="4:7" x14ac:dyDescent="0.35">
      <c r="D617" s="1">
        <v>45177</v>
      </c>
      <c r="E617">
        <v>40</v>
      </c>
      <c r="F617">
        <v>47.28</v>
      </c>
      <c r="G617">
        <v>204.52</v>
      </c>
    </row>
    <row r="618" spans="4:7" x14ac:dyDescent="0.35">
      <c r="D618" s="1">
        <v>45178</v>
      </c>
      <c r="E618">
        <v>32</v>
      </c>
      <c r="F618">
        <v>54.46</v>
      </c>
      <c r="G618">
        <v>172.48</v>
      </c>
    </row>
    <row r="619" spans="4:7" x14ac:dyDescent="0.35">
      <c r="D619" s="1">
        <v>45179</v>
      </c>
      <c r="E619">
        <v>40</v>
      </c>
      <c r="F619">
        <v>41.86</v>
      </c>
      <c r="G619">
        <v>202.32</v>
      </c>
    </row>
    <row r="620" spans="4:7" x14ac:dyDescent="0.35">
      <c r="D620" s="1">
        <v>45180</v>
      </c>
      <c r="E620">
        <v>36</v>
      </c>
      <c r="F620">
        <v>42</v>
      </c>
      <c r="G620">
        <v>209.14</v>
      </c>
    </row>
    <row r="621" spans="4:7" x14ac:dyDescent="0.35">
      <c r="D621" s="1">
        <v>45181</v>
      </c>
      <c r="E621">
        <v>36</v>
      </c>
      <c r="F621">
        <v>53.79</v>
      </c>
      <c r="G621">
        <v>197.91</v>
      </c>
    </row>
    <row r="622" spans="4:7" x14ac:dyDescent="0.35">
      <c r="D622" s="1">
        <v>45182</v>
      </c>
      <c r="E622">
        <v>32</v>
      </c>
      <c r="F622">
        <v>39.090000000000003</v>
      </c>
      <c r="G622">
        <v>150.04</v>
      </c>
    </row>
    <row r="623" spans="4:7" x14ac:dyDescent="0.35">
      <c r="D623" s="1">
        <v>45183</v>
      </c>
      <c r="E623">
        <v>44</v>
      </c>
      <c r="F623">
        <v>50.05</v>
      </c>
      <c r="G623">
        <v>135.30000000000001</v>
      </c>
    </row>
    <row r="624" spans="4:7" x14ac:dyDescent="0.35">
      <c r="D624" s="1">
        <v>45184</v>
      </c>
      <c r="E624">
        <v>41</v>
      </c>
      <c r="F624">
        <v>39.729999999999997</v>
      </c>
      <c r="G624">
        <v>233.18</v>
      </c>
    </row>
    <row r="625" spans="4:7" x14ac:dyDescent="0.35">
      <c r="D625" s="1">
        <v>45185</v>
      </c>
      <c r="E625">
        <v>36</v>
      </c>
      <c r="F625">
        <v>35.96</v>
      </c>
      <c r="G625">
        <v>205.84</v>
      </c>
    </row>
    <row r="626" spans="4:7" x14ac:dyDescent="0.35">
      <c r="D626" s="1">
        <v>45186</v>
      </c>
      <c r="E626">
        <v>33</v>
      </c>
      <c r="F626">
        <v>44.22</v>
      </c>
      <c r="G626">
        <v>231.88</v>
      </c>
    </row>
    <row r="627" spans="4:7" x14ac:dyDescent="0.35">
      <c r="D627" s="1">
        <v>45187</v>
      </c>
      <c r="E627">
        <v>38</v>
      </c>
      <c r="F627">
        <v>35.869999999999997</v>
      </c>
      <c r="G627">
        <v>208.09</v>
      </c>
    </row>
    <row r="628" spans="4:7" x14ac:dyDescent="0.35">
      <c r="D628" s="1">
        <v>45188</v>
      </c>
      <c r="E628">
        <v>40</v>
      </c>
      <c r="F628">
        <v>49.6</v>
      </c>
      <c r="G628">
        <v>159.13</v>
      </c>
    </row>
    <row r="629" spans="4:7" x14ac:dyDescent="0.35">
      <c r="D629" s="1">
        <v>45189</v>
      </c>
      <c r="E629">
        <v>35</v>
      </c>
      <c r="F629">
        <v>38.31</v>
      </c>
      <c r="G629">
        <v>170.93</v>
      </c>
    </row>
    <row r="630" spans="4:7" x14ac:dyDescent="0.35">
      <c r="D630" s="1">
        <v>45190</v>
      </c>
      <c r="E630">
        <v>34</v>
      </c>
      <c r="F630">
        <v>55.51</v>
      </c>
      <c r="G630">
        <v>161.47999999999999</v>
      </c>
    </row>
    <row r="631" spans="4:7" x14ac:dyDescent="0.35">
      <c r="D631" s="1">
        <v>45191</v>
      </c>
      <c r="E631">
        <v>39</v>
      </c>
      <c r="F631">
        <v>42.76</v>
      </c>
      <c r="G631">
        <v>158.28</v>
      </c>
    </row>
    <row r="632" spans="4:7" x14ac:dyDescent="0.35">
      <c r="D632" s="1">
        <v>45192</v>
      </c>
      <c r="E632">
        <v>33</v>
      </c>
      <c r="F632">
        <v>49.78</v>
      </c>
      <c r="G632">
        <v>158.19</v>
      </c>
    </row>
    <row r="633" spans="4:7" x14ac:dyDescent="0.35">
      <c r="D633" s="1">
        <v>45193</v>
      </c>
      <c r="E633">
        <v>34</v>
      </c>
      <c r="F633">
        <v>44.73</v>
      </c>
      <c r="G633">
        <v>220.39</v>
      </c>
    </row>
    <row r="634" spans="4:7" x14ac:dyDescent="0.35">
      <c r="D634" s="1">
        <v>45194</v>
      </c>
      <c r="E634">
        <v>34</v>
      </c>
      <c r="F634">
        <v>46.93</v>
      </c>
      <c r="G634">
        <v>232.65</v>
      </c>
    </row>
    <row r="635" spans="4:7" x14ac:dyDescent="0.35">
      <c r="D635" s="1">
        <v>45195</v>
      </c>
      <c r="E635">
        <v>36</v>
      </c>
      <c r="F635">
        <v>39.67</v>
      </c>
      <c r="G635">
        <v>186.68</v>
      </c>
    </row>
    <row r="636" spans="4:7" x14ac:dyDescent="0.35">
      <c r="D636" s="1">
        <v>45196</v>
      </c>
      <c r="E636">
        <v>40</v>
      </c>
      <c r="F636">
        <v>39.340000000000003</v>
      </c>
      <c r="G636">
        <v>151.47999999999999</v>
      </c>
    </row>
    <row r="637" spans="4:7" x14ac:dyDescent="0.35">
      <c r="D637" s="1">
        <v>45197</v>
      </c>
      <c r="E637">
        <v>34</v>
      </c>
      <c r="F637">
        <v>45.43</v>
      </c>
      <c r="G637">
        <v>197.11</v>
      </c>
    </row>
    <row r="638" spans="4:7" x14ac:dyDescent="0.35">
      <c r="D638" s="1">
        <v>45198</v>
      </c>
      <c r="E638">
        <v>37</v>
      </c>
      <c r="F638">
        <v>38.22</v>
      </c>
      <c r="G638">
        <v>183.17</v>
      </c>
    </row>
    <row r="639" spans="4:7" x14ac:dyDescent="0.35">
      <c r="D639" s="1">
        <v>45199</v>
      </c>
      <c r="E639">
        <v>43</v>
      </c>
      <c r="F639">
        <v>38.76</v>
      </c>
      <c r="G639">
        <v>167.28</v>
      </c>
    </row>
    <row r="640" spans="4:7" x14ac:dyDescent="0.35">
      <c r="D640" s="1">
        <v>45200</v>
      </c>
      <c r="E640">
        <v>37</v>
      </c>
      <c r="F640">
        <v>46.49</v>
      </c>
      <c r="G640">
        <v>135.13</v>
      </c>
    </row>
    <row r="641" spans="4:7" x14ac:dyDescent="0.35">
      <c r="D641" s="1">
        <v>45201</v>
      </c>
      <c r="E641">
        <v>41</v>
      </c>
      <c r="F641">
        <v>45.37</v>
      </c>
      <c r="G641">
        <v>185.15</v>
      </c>
    </row>
    <row r="642" spans="4:7" x14ac:dyDescent="0.35">
      <c r="D642" s="1">
        <v>45202</v>
      </c>
      <c r="E642">
        <v>33</v>
      </c>
      <c r="F642">
        <v>39.770000000000003</v>
      </c>
      <c r="G642">
        <v>198.62</v>
      </c>
    </row>
    <row r="643" spans="4:7" x14ac:dyDescent="0.35">
      <c r="D643" s="1">
        <v>45203</v>
      </c>
      <c r="E643">
        <v>33</v>
      </c>
      <c r="F643">
        <v>41.78</v>
      </c>
      <c r="G643">
        <v>200.91</v>
      </c>
    </row>
    <row r="644" spans="4:7" x14ac:dyDescent="0.35">
      <c r="D644" s="1">
        <v>45204</v>
      </c>
      <c r="E644">
        <v>42</v>
      </c>
      <c r="F644">
        <v>38.08</v>
      </c>
      <c r="G644">
        <v>232.75</v>
      </c>
    </row>
    <row r="645" spans="4:7" x14ac:dyDescent="0.35">
      <c r="D645" s="1">
        <v>45205</v>
      </c>
      <c r="E645">
        <v>36</v>
      </c>
      <c r="F645">
        <v>54.67</v>
      </c>
      <c r="G645">
        <v>156.44999999999999</v>
      </c>
    </row>
    <row r="646" spans="4:7" x14ac:dyDescent="0.35">
      <c r="D646" s="1">
        <v>45206</v>
      </c>
      <c r="E646">
        <v>42</v>
      </c>
      <c r="F646">
        <v>45.13</v>
      </c>
      <c r="G646">
        <v>153.74</v>
      </c>
    </row>
    <row r="647" spans="4:7" x14ac:dyDescent="0.35">
      <c r="D647" s="1">
        <v>45207</v>
      </c>
      <c r="E647">
        <v>38</v>
      </c>
      <c r="F647">
        <v>50.69</v>
      </c>
      <c r="G647">
        <v>199.39</v>
      </c>
    </row>
    <row r="648" spans="4:7" x14ac:dyDescent="0.35">
      <c r="D648" s="1">
        <v>45208</v>
      </c>
      <c r="E648">
        <v>42</v>
      </c>
      <c r="F648">
        <v>36.840000000000003</v>
      </c>
      <c r="G648">
        <v>230.34</v>
      </c>
    </row>
    <row r="649" spans="4:7" x14ac:dyDescent="0.35">
      <c r="D649" s="1">
        <v>45209</v>
      </c>
      <c r="E649">
        <v>35</v>
      </c>
      <c r="F649">
        <v>49.66</v>
      </c>
      <c r="G649">
        <v>197.87</v>
      </c>
    </row>
    <row r="650" spans="4:7" x14ac:dyDescent="0.35">
      <c r="D650" s="1">
        <v>45210</v>
      </c>
      <c r="E650">
        <v>39</v>
      </c>
      <c r="F650">
        <v>38.32</v>
      </c>
      <c r="G650">
        <v>159.4</v>
      </c>
    </row>
    <row r="651" spans="4:7" x14ac:dyDescent="0.35">
      <c r="D651" s="1">
        <v>45211</v>
      </c>
      <c r="E651">
        <v>36</v>
      </c>
      <c r="F651">
        <v>44.64</v>
      </c>
      <c r="G651">
        <v>152.72999999999999</v>
      </c>
    </row>
    <row r="652" spans="4:7" x14ac:dyDescent="0.35">
      <c r="D652" s="1">
        <v>45212</v>
      </c>
      <c r="E652">
        <v>34</v>
      </c>
      <c r="F652">
        <v>48.69</v>
      </c>
      <c r="G652">
        <v>189.03</v>
      </c>
    </row>
    <row r="653" spans="4:7" x14ac:dyDescent="0.35">
      <c r="D653" s="1">
        <v>45213</v>
      </c>
      <c r="E653">
        <v>34</v>
      </c>
      <c r="F653">
        <v>44.45</v>
      </c>
      <c r="G653">
        <v>169.8</v>
      </c>
    </row>
    <row r="654" spans="4:7" x14ac:dyDescent="0.35">
      <c r="D654" s="1">
        <v>45214</v>
      </c>
      <c r="E654">
        <v>39</v>
      </c>
      <c r="F654">
        <v>55.18</v>
      </c>
      <c r="G654">
        <v>147.29</v>
      </c>
    </row>
    <row r="655" spans="4:7" x14ac:dyDescent="0.35">
      <c r="D655" s="1">
        <v>45215</v>
      </c>
      <c r="E655">
        <v>37</v>
      </c>
      <c r="F655">
        <v>37.67</v>
      </c>
      <c r="G655">
        <v>223.43</v>
      </c>
    </row>
    <row r="656" spans="4:7" x14ac:dyDescent="0.35">
      <c r="D656" s="1">
        <v>45216</v>
      </c>
      <c r="E656">
        <v>39</v>
      </c>
      <c r="F656">
        <v>53.78</v>
      </c>
      <c r="G656">
        <v>230.27</v>
      </c>
    </row>
    <row r="657" spans="4:7" x14ac:dyDescent="0.35">
      <c r="D657" s="1">
        <v>45217</v>
      </c>
      <c r="E657">
        <v>42</v>
      </c>
      <c r="F657">
        <v>51.14</v>
      </c>
      <c r="G657">
        <v>146</v>
      </c>
    </row>
    <row r="658" spans="4:7" x14ac:dyDescent="0.35">
      <c r="D658" s="1">
        <v>45218</v>
      </c>
      <c r="E658">
        <v>43</v>
      </c>
      <c r="F658">
        <v>49.6</v>
      </c>
      <c r="G658">
        <v>150.41999999999999</v>
      </c>
    </row>
    <row r="659" spans="4:7" x14ac:dyDescent="0.35">
      <c r="D659" s="1">
        <v>45219</v>
      </c>
      <c r="E659">
        <v>42</v>
      </c>
      <c r="F659">
        <v>47.66</v>
      </c>
      <c r="G659">
        <v>229.73</v>
      </c>
    </row>
    <row r="660" spans="4:7" x14ac:dyDescent="0.35">
      <c r="D660" s="1">
        <v>45220</v>
      </c>
      <c r="E660">
        <v>40</v>
      </c>
      <c r="F660">
        <v>51.02</v>
      </c>
      <c r="G660">
        <v>192.59</v>
      </c>
    </row>
    <row r="661" spans="4:7" x14ac:dyDescent="0.35">
      <c r="D661" s="1">
        <v>45221</v>
      </c>
      <c r="E661">
        <v>43</v>
      </c>
      <c r="F661">
        <v>44.8</v>
      </c>
      <c r="G661">
        <v>193.87</v>
      </c>
    </row>
    <row r="662" spans="4:7" x14ac:dyDescent="0.35">
      <c r="D662" s="1">
        <v>45222</v>
      </c>
      <c r="E662">
        <v>38</v>
      </c>
      <c r="F662">
        <v>42.55</v>
      </c>
      <c r="G662">
        <v>156.33000000000001</v>
      </c>
    </row>
    <row r="663" spans="4:7" x14ac:dyDescent="0.35">
      <c r="D663" s="1">
        <v>45223</v>
      </c>
      <c r="E663">
        <v>36</v>
      </c>
      <c r="F663">
        <v>38.03</v>
      </c>
      <c r="G663">
        <v>152.38</v>
      </c>
    </row>
    <row r="664" spans="4:7" x14ac:dyDescent="0.35">
      <c r="D664" s="1">
        <v>45224</v>
      </c>
      <c r="E664">
        <v>34</v>
      </c>
      <c r="F664">
        <v>55.46</v>
      </c>
      <c r="G664">
        <v>163.82</v>
      </c>
    </row>
    <row r="665" spans="4:7" x14ac:dyDescent="0.35">
      <c r="D665" s="1">
        <v>45225</v>
      </c>
      <c r="E665">
        <v>42</v>
      </c>
      <c r="F665">
        <v>38.200000000000003</v>
      </c>
      <c r="G665">
        <v>224.57</v>
      </c>
    </row>
    <row r="666" spans="4:7" x14ac:dyDescent="0.35">
      <c r="D666" s="1">
        <v>45226</v>
      </c>
      <c r="E666">
        <v>38</v>
      </c>
      <c r="F666">
        <v>48.63</v>
      </c>
      <c r="G666">
        <v>214.57</v>
      </c>
    </row>
    <row r="667" spans="4:7" x14ac:dyDescent="0.35">
      <c r="D667" s="1">
        <v>45227</v>
      </c>
      <c r="E667">
        <v>42</v>
      </c>
      <c r="F667">
        <v>41.48</v>
      </c>
      <c r="G667">
        <v>216.04</v>
      </c>
    </row>
    <row r="668" spans="4:7" x14ac:dyDescent="0.35">
      <c r="D668" s="1">
        <v>45228</v>
      </c>
      <c r="E668">
        <v>44</v>
      </c>
      <c r="F668">
        <v>53.83</v>
      </c>
      <c r="G668">
        <v>162.22</v>
      </c>
    </row>
    <row r="669" spans="4:7" x14ac:dyDescent="0.35">
      <c r="D669" s="1">
        <v>45229</v>
      </c>
      <c r="E669">
        <v>44</v>
      </c>
      <c r="F669">
        <v>46.56</v>
      </c>
      <c r="G669">
        <v>234.02</v>
      </c>
    </row>
    <row r="670" spans="4:7" x14ac:dyDescent="0.35">
      <c r="D670" s="1">
        <v>45230</v>
      </c>
      <c r="E670">
        <v>34</v>
      </c>
      <c r="F670">
        <v>41.57</v>
      </c>
      <c r="G670">
        <v>155.78</v>
      </c>
    </row>
    <row r="671" spans="4:7" x14ac:dyDescent="0.35">
      <c r="D671" s="1">
        <v>45231</v>
      </c>
      <c r="E671">
        <v>39</v>
      </c>
      <c r="F671">
        <v>42.1</v>
      </c>
      <c r="G671">
        <v>210.91</v>
      </c>
    </row>
    <row r="672" spans="4:7" x14ac:dyDescent="0.35">
      <c r="D672" s="1">
        <v>45232</v>
      </c>
      <c r="E672">
        <v>38</v>
      </c>
      <c r="F672">
        <v>43.89</v>
      </c>
      <c r="G672">
        <v>141.16999999999999</v>
      </c>
    </row>
    <row r="673" spans="4:7" x14ac:dyDescent="0.35">
      <c r="D673" s="1">
        <v>45233</v>
      </c>
      <c r="E673">
        <v>39</v>
      </c>
      <c r="F673">
        <v>47.41</v>
      </c>
      <c r="G673">
        <v>193.12</v>
      </c>
    </row>
    <row r="674" spans="4:7" x14ac:dyDescent="0.35">
      <c r="D674" s="1">
        <v>45234</v>
      </c>
      <c r="E674">
        <v>39</v>
      </c>
      <c r="F674">
        <v>42.47</v>
      </c>
      <c r="G674">
        <v>163.03</v>
      </c>
    </row>
    <row r="675" spans="4:7" x14ac:dyDescent="0.35">
      <c r="D675" s="1">
        <v>45235</v>
      </c>
      <c r="E675">
        <v>39</v>
      </c>
      <c r="F675">
        <v>44.38</v>
      </c>
      <c r="G675">
        <v>224.2</v>
      </c>
    </row>
    <row r="676" spans="4:7" x14ac:dyDescent="0.35">
      <c r="D676" s="1">
        <v>45236</v>
      </c>
      <c r="E676">
        <v>37</v>
      </c>
      <c r="F676">
        <v>39.64</v>
      </c>
      <c r="G676">
        <v>137.55000000000001</v>
      </c>
    </row>
    <row r="677" spans="4:7" x14ac:dyDescent="0.35">
      <c r="D677" s="1">
        <v>45237</v>
      </c>
      <c r="E677">
        <v>36</v>
      </c>
      <c r="F677">
        <v>54.94</v>
      </c>
      <c r="G677">
        <v>197.45</v>
      </c>
    </row>
    <row r="678" spans="4:7" x14ac:dyDescent="0.35">
      <c r="D678" s="1">
        <v>45238</v>
      </c>
      <c r="E678">
        <v>40</v>
      </c>
      <c r="F678">
        <v>48.95</v>
      </c>
      <c r="G678">
        <v>161.38999999999999</v>
      </c>
    </row>
    <row r="679" spans="4:7" x14ac:dyDescent="0.35">
      <c r="D679" s="1">
        <v>45239</v>
      </c>
      <c r="E679">
        <v>45</v>
      </c>
      <c r="F679">
        <v>42.31</v>
      </c>
      <c r="G679">
        <v>220.97</v>
      </c>
    </row>
    <row r="680" spans="4:7" x14ac:dyDescent="0.35">
      <c r="D680" s="1">
        <v>45240</v>
      </c>
      <c r="E680">
        <v>34</v>
      </c>
      <c r="F680">
        <v>51.63</v>
      </c>
      <c r="G680">
        <v>160.1</v>
      </c>
    </row>
    <row r="681" spans="4:7" x14ac:dyDescent="0.35">
      <c r="D681" s="1">
        <v>45241</v>
      </c>
      <c r="E681">
        <v>41</v>
      </c>
      <c r="F681">
        <v>36.380000000000003</v>
      </c>
      <c r="G681">
        <v>221.37</v>
      </c>
    </row>
    <row r="682" spans="4:7" x14ac:dyDescent="0.35">
      <c r="D682" s="1">
        <v>45242</v>
      </c>
      <c r="E682">
        <v>43</v>
      </c>
      <c r="F682">
        <v>37.15</v>
      </c>
      <c r="G682">
        <v>223.93</v>
      </c>
    </row>
    <row r="683" spans="4:7" x14ac:dyDescent="0.35">
      <c r="D683" s="1">
        <v>45243</v>
      </c>
      <c r="E683">
        <v>45</v>
      </c>
      <c r="F683">
        <v>54.03</v>
      </c>
      <c r="G683">
        <v>212.15</v>
      </c>
    </row>
    <row r="684" spans="4:7" x14ac:dyDescent="0.35">
      <c r="D684" s="1">
        <v>45244</v>
      </c>
      <c r="E684">
        <v>45</v>
      </c>
      <c r="F684">
        <v>43.04</v>
      </c>
      <c r="G684">
        <v>227.74</v>
      </c>
    </row>
    <row r="685" spans="4:7" x14ac:dyDescent="0.35">
      <c r="D685" s="1">
        <v>45245</v>
      </c>
      <c r="E685">
        <v>41</v>
      </c>
      <c r="F685">
        <v>35.619999999999997</v>
      </c>
      <c r="G685">
        <v>231.27</v>
      </c>
    </row>
    <row r="686" spans="4:7" x14ac:dyDescent="0.35">
      <c r="D686" s="1">
        <v>45246</v>
      </c>
      <c r="E686">
        <v>42</v>
      </c>
      <c r="F686">
        <v>40.64</v>
      </c>
      <c r="G686">
        <v>178.99</v>
      </c>
    </row>
    <row r="687" spans="4:7" x14ac:dyDescent="0.35">
      <c r="D687" s="1">
        <v>45247</v>
      </c>
      <c r="E687">
        <v>39</v>
      </c>
      <c r="F687">
        <v>35.909999999999997</v>
      </c>
      <c r="G687">
        <v>201.25</v>
      </c>
    </row>
    <row r="688" spans="4:7" x14ac:dyDescent="0.35">
      <c r="D688" s="1">
        <v>45248</v>
      </c>
      <c r="E688">
        <v>39</v>
      </c>
      <c r="F688">
        <v>47.81</v>
      </c>
      <c r="G688">
        <v>201.94</v>
      </c>
    </row>
    <row r="689" spans="4:7" x14ac:dyDescent="0.35">
      <c r="D689" s="1">
        <v>45249</v>
      </c>
      <c r="E689">
        <v>37</v>
      </c>
      <c r="F689">
        <v>41.56</v>
      </c>
      <c r="G689">
        <v>210.37</v>
      </c>
    </row>
    <row r="690" spans="4:7" x14ac:dyDescent="0.35">
      <c r="D690" s="1">
        <v>45250</v>
      </c>
      <c r="E690">
        <v>39</v>
      </c>
      <c r="F690">
        <v>53.39</v>
      </c>
      <c r="G690">
        <v>185.65</v>
      </c>
    </row>
    <row r="691" spans="4:7" x14ac:dyDescent="0.35">
      <c r="D691" s="1">
        <v>45251</v>
      </c>
      <c r="E691">
        <v>40</v>
      </c>
      <c r="F691">
        <v>36.17</v>
      </c>
      <c r="G691">
        <v>171.96</v>
      </c>
    </row>
    <row r="692" spans="4:7" x14ac:dyDescent="0.35">
      <c r="D692" s="1">
        <v>45252</v>
      </c>
      <c r="E692">
        <v>45</v>
      </c>
      <c r="F692">
        <v>50.6</v>
      </c>
      <c r="G692">
        <v>141.44999999999999</v>
      </c>
    </row>
    <row r="693" spans="4:7" x14ac:dyDescent="0.35">
      <c r="D693" s="1">
        <v>45253</v>
      </c>
      <c r="E693">
        <v>36</v>
      </c>
      <c r="F693">
        <v>53.25</v>
      </c>
      <c r="G693">
        <v>136.65</v>
      </c>
    </row>
    <row r="694" spans="4:7" x14ac:dyDescent="0.35">
      <c r="D694" s="1">
        <v>45254</v>
      </c>
      <c r="E694">
        <v>43</v>
      </c>
      <c r="F694">
        <v>44.73</v>
      </c>
      <c r="G694">
        <v>203.74</v>
      </c>
    </row>
    <row r="695" spans="4:7" x14ac:dyDescent="0.35">
      <c r="D695" s="1">
        <v>45255</v>
      </c>
      <c r="E695">
        <v>44</v>
      </c>
      <c r="F695">
        <v>44.55</v>
      </c>
      <c r="G695">
        <v>222.54</v>
      </c>
    </row>
    <row r="696" spans="4:7" x14ac:dyDescent="0.35">
      <c r="D696" s="1">
        <v>45256</v>
      </c>
      <c r="E696">
        <v>39</v>
      </c>
      <c r="F696">
        <v>46.12</v>
      </c>
      <c r="G696">
        <v>135.56</v>
      </c>
    </row>
    <row r="697" spans="4:7" x14ac:dyDescent="0.35">
      <c r="D697" s="1">
        <v>45257</v>
      </c>
      <c r="E697">
        <v>38</v>
      </c>
      <c r="F697">
        <v>36.549999999999997</v>
      </c>
      <c r="G697">
        <v>219.38</v>
      </c>
    </row>
    <row r="698" spans="4:7" x14ac:dyDescent="0.35">
      <c r="D698" s="1">
        <v>45258</v>
      </c>
      <c r="E698">
        <v>44</v>
      </c>
      <c r="F698">
        <v>50.59</v>
      </c>
      <c r="G698">
        <v>226.88</v>
      </c>
    </row>
    <row r="699" spans="4:7" x14ac:dyDescent="0.35">
      <c r="D699" s="1">
        <v>45259</v>
      </c>
      <c r="E699">
        <v>45</v>
      </c>
      <c r="F699">
        <v>45.42</v>
      </c>
      <c r="G699">
        <v>172.93</v>
      </c>
    </row>
    <row r="700" spans="4:7" x14ac:dyDescent="0.35">
      <c r="D700" s="1">
        <v>45260</v>
      </c>
      <c r="E700">
        <v>38</v>
      </c>
      <c r="F700">
        <v>50.48</v>
      </c>
      <c r="G700">
        <v>229.44</v>
      </c>
    </row>
    <row r="701" spans="4:7" x14ac:dyDescent="0.35">
      <c r="D701" s="1">
        <v>45261</v>
      </c>
      <c r="E701">
        <v>45</v>
      </c>
      <c r="F701">
        <v>45.09</v>
      </c>
      <c r="G701">
        <v>204.69</v>
      </c>
    </row>
    <row r="702" spans="4:7" x14ac:dyDescent="0.35">
      <c r="D702" s="1">
        <v>45262</v>
      </c>
      <c r="E702">
        <v>37</v>
      </c>
      <c r="F702">
        <v>35.69</v>
      </c>
      <c r="G702">
        <v>149.29</v>
      </c>
    </row>
    <row r="703" spans="4:7" x14ac:dyDescent="0.35">
      <c r="D703" s="1">
        <v>45263</v>
      </c>
      <c r="E703">
        <v>43</v>
      </c>
      <c r="F703">
        <v>38.71</v>
      </c>
      <c r="G703">
        <v>151.59</v>
      </c>
    </row>
    <row r="704" spans="4:7" x14ac:dyDescent="0.35">
      <c r="D704" s="1">
        <v>45264</v>
      </c>
      <c r="E704">
        <v>45</v>
      </c>
      <c r="F704">
        <v>54.44</v>
      </c>
      <c r="G704">
        <v>167.02</v>
      </c>
    </row>
    <row r="705" spans="4:7" x14ac:dyDescent="0.35">
      <c r="D705" s="1">
        <v>45265</v>
      </c>
      <c r="E705">
        <v>44</v>
      </c>
      <c r="F705">
        <v>37.24</v>
      </c>
      <c r="G705">
        <v>229.24</v>
      </c>
    </row>
    <row r="706" spans="4:7" x14ac:dyDescent="0.35">
      <c r="D706" s="1">
        <v>45266</v>
      </c>
      <c r="E706">
        <v>40</v>
      </c>
      <c r="F706">
        <v>42.13</v>
      </c>
      <c r="G706">
        <v>219.54</v>
      </c>
    </row>
    <row r="707" spans="4:7" x14ac:dyDescent="0.35">
      <c r="D707" s="1">
        <v>45267</v>
      </c>
      <c r="E707">
        <v>42</v>
      </c>
      <c r="F707">
        <v>40.36</v>
      </c>
      <c r="G707">
        <v>225.58</v>
      </c>
    </row>
    <row r="708" spans="4:7" x14ac:dyDescent="0.35">
      <c r="D708" s="1">
        <v>45268</v>
      </c>
      <c r="E708">
        <v>35</v>
      </c>
      <c r="F708">
        <v>47.06</v>
      </c>
      <c r="G708">
        <v>193.45</v>
      </c>
    </row>
    <row r="709" spans="4:7" x14ac:dyDescent="0.35">
      <c r="D709" s="1">
        <v>45269</v>
      </c>
      <c r="E709">
        <v>45</v>
      </c>
      <c r="F709">
        <v>37.619999999999997</v>
      </c>
      <c r="G709">
        <v>172.28</v>
      </c>
    </row>
    <row r="710" spans="4:7" x14ac:dyDescent="0.35">
      <c r="D710" s="1">
        <v>45270</v>
      </c>
      <c r="E710">
        <v>37</v>
      </c>
      <c r="F710">
        <v>43.19</v>
      </c>
      <c r="G710">
        <v>159.55000000000001</v>
      </c>
    </row>
    <row r="711" spans="4:7" x14ac:dyDescent="0.35">
      <c r="D711" s="1">
        <v>45271</v>
      </c>
      <c r="E711">
        <v>40</v>
      </c>
      <c r="F711">
        <v>54.8</v>
      </c>
      <c r="G711">
        <v>198.84</v>
      </c>
    </row>
    <row r="712" spans="4:7" x14ac:dyDescent="0.35">
      <c r="D712" s="1">
        <v>45272</v>
      </c>
      <c r="E712">
        <v>37</v>
      </c>
      <c r="F712">
        <v>50.64</v>
      </c>
      <c r="G712">
        <v>222.1</v>
      </c>
    </row>
    <row r="713" spans="4:7" x14ac:dyDescent="0.35">
      <c r="D713" s="1">
        <v>45273</v>
      </c>
      <c r="E713">
        <v>37</v>
      </c>
      <c r="F713">
        <v>40.880000000000003</v>
      </c>
      <c r="G713">
        <v>154.27000000000001</v>
      </c>
    </row>
    <row r="714" spans="4:7" x14ac:dyDescent="0.35">
      <c r="D714" s="1">
        <v>45274</v>
      </c>
      <c r="E714">
        <v>46</v>
      </c>
      <c r="F714">
        <v>47.24</v>
      </c>
      <c r="G714">
        <v>173.39</v>
      </c>
    </row>
    <row r="715" spans="4:7" x14ac:dyDescent="0.35">
      <c r="D715" s="1">
        <v>45275</v>
      </c>
      <c r="E715">
        <v>45</v>
      </c>
      <c r="F715">
        <v>53.71</v>
      </c>
      <c r="G715">
        <v>186.72</v>
      </c>
    </row>
    <row r="716" spans="4:7" x14ac:dyDescent="0.35">
      <c r="D716" s="1">
        <v>45276</v>
      </c>
      <c r="E716">
        <v>42</v>
      </c>
      <c r="F716">
        <v>44.6</v>
      </c>
      <c r="G716">
        <v>162.62</v>
      </c>
    </row>
    <row r="717" spans="4:7" x14ac:dyDescent="0.35">
      <c r="D717" s="1">
        <v>45277</v>
      </c>
      <c r="E717">
        <v>42</v>
      </c>
      <c r="F717">
        <v>54.31</v>
      </c>
      <c r="G717">
        <v>205.01</v>
      </c>
    </row>
    <row r="718" spans="4:7" x14ac:dyDescent="0.35">
      <c r="D718" s="1">
        <v>45278</v>
      </c>
      <c r="E718">
        <v>36</v>
      </c>
      <c r="F718">
        <v>48.91</v>
      </c>
      <c r="G718">
        <v>166.82</v>
      </c>
    </row>
    <row r="719" spans="4:7" x14ac:dyDescent="0.35">
      <c r="D719" s="1">
        <v>45279</v>
      </c>
      <c r="E719">
        <v>38</v>
      </c>
      <c r="F719">
        <v>40.299999999999997</v>
      </c>
      <c r="G719">
        <v>171.69</v>
      </c>
    </row>
    <row r="720" spans="4:7" x14ac:dyDescent="0.35">
      <c r="D720" s="1">
        <v>45280</v>
      </c>
      <c r="E720">
        <v>41</v>
      </c>
      <c r="F720">
        <v>37.97</v>
      </c>
      <c r="G720">
        <v>225.98</v>
      </c>
    </row>
    <row r="721" spans="4:7" x14ac:dyDescent="0.35">
      <c r="D721" s="1">
        <v>45281</v>
      </c>
      <c r="E721">
        <v>36</v>
      </c>
      <c r="F721">
        <v>45.51</v>
      </c>
      <c r="G721">
        <v>179.96</v>
      </c>
    </row>
    <row r="722" spans="4:7" x14ac:dyDescent="0.35">
      <c r="D722" s="1">
        <v>45282</v>
      </c>
      <c r="E722">
        <v>40</v>
      </c>
      <c r="F722">
        <v>45.78</v>
      </c>
      <c r="G722">
        <v>142.59</v>
      </c>
    </row>
    <row r="723" spans="4:7" x14ac:dyDescent="0.35">
      <c r="D723" s="1">
        <v>45283</v>
      </c>
      <c r="E723">
        <v>37</v>
      </c>
      <c r="F723">
        <v>49.11</v>
      </c>
      <c r="G723">
        <v>225.63</v>
      </c>
    </row>
    <row r="724" spans="4:7" x14ac:dyDescent="0.35">
      <c r="D724" s="1">
        <v>45284</v>
      </c>
      <c r="E724">
        <v>45</v>
      </c>
      <c r="F724">
        <v>54.54</v>
      </c>
      <c r="G724">
        <v>153.52000000000001</v>
      </c>
    </row>
    <row r="725" spans="4:7" x14ac:dyDescent="0.35">
      <c r="D725" s="1">
        <v>45285</v>
      </c>
      <c r="E725">
        <v>45</v>
      </c>
      <c r="F725">
        <v>50.05</v>
      </c>
      <c r="G725">
        <v>167.58</v>
      </c>
    </row>
    <row r="726" spans="4:7" x14ac:dyDescent="0.35">
      <c r="D726" s="1">
        <v>45286</v>
      </c>
      <c r="E726">
        <v>44</v>
      </c>
      <c r="F726">
        <v>47.01</v>
      </c>
      <c r="G726">
        <v>171.5</v>
      </c>
    </row>
    <row r="727" spans="4:7" x14ac:dyDescent="0.35">
      <c r="D727" s="1">
        <v>45287</v>
      </c>
      <c r="E727">
        <v>47</v>
      </c>
      <c r="F727">
        <v>46.57</v>
      </c>
      <c r="G727">
        <v>230.21</v>
      </c>
    </row>
    <row r="728" spans="4:7" x14ac:dyDescent="0.35">
      <c r="D728" s="1">
        <v>45288</v>
      </c>
      <c r="E728">
        <v>45</v>
      </c>
      <c r="F728">
        <v>48.81</v>
      </c>
      <c r="G728">
        <v>174.31</v>
      </c>
    </row>
    <row r="729" spans="4:7" x14ac:dyDescent="0.35">
      <c r="D729" s="1">
        <v>45289</v>
      </c>
      <c r="E729">
        <v>36</v>
      </c>
      <c r="F729">
        <v>43.93</v>
      </c>
      <c r="G729">
        <v>135.49</v>
      </c>
    </row>
    <row r="730" spans="4:7" x14ac:dyDescent="0.35">
      <c r="D730" s="1">
        <v>45290</v>
      </c>
      <c r="E730">
        <v>46</v>
      </c>
      <c r="F730">
        <v>38.520000000000003</v>
      </c>
      <c r="G730">
        <v>194.74</v>
      </c>
    </row>
    <row r="731" spans="4:7" x14ac:dyDescent="0.35">
      <c r="D731" s="1">
        <v>45291</v>
      </c>
      <c r="E731">
        <v>38</v>
      </c>
      <c r="F731">
        <v>49.72</v>
      </c>
      <c r="G731">
        <v>204.23</v>
      </c>
    </row>
    <row r="732" spans="4:7" x14ac:dyDescent="0.35">
      <c r="D732" s="1">
        <v>45292</v>
      </c>
      <c r="E732">
        <v>35</v>
      </c>
      <c r="F732">
        <v>48.7</v>
      </c>
      <c r="G732">
        <v>186.6</v>
      </c>
    </row>
    <row r="733" spans="4:7" x14ac:dyDescent="0.35">
      <c r="D733" s="1">
        <v>45293</v>
      </c>
      <c r="E733">
        <v>40</v>
      </c>
      <c r="F733">
        <v>44.65</v>
      </c>
      <c r="G733">
        <v>222</v>
      </c>
    </row>
    <row r="734" spans="4:7" x14ac:dyDescent="0.35">
      <c r="D734" s="1">
        <v>45294</v>
      </c>
      <c r="E734">
        <v>43</v>
      </c>
      <c r="F734">
        <v>49.11</v>
      </c>
      <c r="G734">
        <v>157.71</v>
      </c>
    </row>
    <row r="735" spans="4:7" x14ac:dyDescent="0.35">
      <c r="D735" s="1">
        <v>45295</v>
      </c>
      <c r="E735">
        <v>42</v>
      </c>
      <c r="F735">
        <v>41.83</v>
      </c>
      <c r="G735">
        <v>231.75</v>
      </c>
    </row>
    <row r="736" spans="4:7" x14ac:dyDescent="0.35">
      <c r="D736" s="1">
        <v>45296</v>
      </c>
      <c r="E736">
        <v>44</v>
      </c>
      <c r="F736">
        <v>40.549999999999997</v>
      </c>
      <c r="G736">
        <v>169.04</v>
      </c>
    </row>
    <row r="737" spans="4:7" x14ac:dyDescent="0.35">
      <c r="D737" s="1">
        <v>45297</v>
      </c>
      <c r="E737">
        <v>44</v>
      </c>
      <c r="F737">
        <v>45.34</v>
      </c>
      <c r="G737">
        <v>151.35</v>
      </c>
    </row>
    <row r="738" spans="4:7" x14ac:dyDescent="0.35">
      <c r="D738" s="1">
        <v>45298</v>
      </c>
      <c r="E738">
        <v>47</v>
      </c>
      <c r="F738">
        <v>38.15</v>
      </c>
      <c r="G738">
        <v>187.99</v>
      </c>
    </row>
    <row r="739" spans="4:7" x14ac:dyDescent="0.35">
      <c r="D739" s="1">
        <v>45299</v>
      </c>
      <c r="E739">
        <v>41</v>
      </c>
      <c r="F739">
        <v>46.29</v>
      </c>
      <c r="G739">
        <v>165.11</v>
      </c>
    </row>
    <row r="740" spans="4:7" x14ac:dyDescent="0.35">
      <c r="D740" s="1">
        <v>45300</v>
      </c>
      <c r="E740">
        <v>43</v>
      </c>
      <c r="F740">
        <v>50.41</v>
      </c>
      <c r="G740">
        <v>136.26</v>
      </c>
    </row>
    <row r="741" spans="4:7" x14ac:dyDescent="0.35">
      <c r="D741" s="1">
        <v>45301</v>
      </c>
      <c r="E741">
        <v>38</v>
      </c>
      <c r="F741">
        <v>53.33</v>
      </c>
      <c r="G741">
        <v>150.58000000000001</v>
      </c>
    </row>
    <row r="742" spans="4:7" x14ac:dyDescent="0.35">
      <c r="D742" s="1">
        <v>45302</v>
      </c>
      <c r="E742">
        <v>42</v>
      </c>
      <c r="F742">
        <v>51.72</v>
      </c>
      <c r="G742">
        <v>219.64</v>
      </c>
    </row>
    <row r="743" spans="4:7" x14ac:dyDescent="0.35">
      <c r="D743" s="1">
        <v>45303</v>
      </c>
      <c r="E743">
        <v>41</v>
      </c>
      <c r="F743">
        <v>35.090000000000003</v>
      </c>
      <c r="G743">
        <v>178.72</v>
      </c>
    </row>
    <row r="744" spans="4:7" x14ac:dyDescent="0.35">
      <c r="D744" s="1">
        <v>45304</v>
      </c>
      <c r="E744">
        <v>38</v>
      </c>
      <c r="F744">
        <v>47.93</v>
      </c>
      <c r="G744">
        <v>164.94</v>
      </c>
    </row>
    <row r="745" spans="4:7" x14ac:dyDescent="0.35">
      <c r="D745" s="1">
        <v>45305</v>
      </c>
      <c r="E745">
        <v>41</v>
      </c>
      <c r="F745">
        <v>49.76</v>
      </c>
      <c r="G745">
        <v>205.26</v>
      </c>
    </row>
    <row r="746" spans="4:7" x14ac:dyDescent="0.35">
      <c r="D746" s="1">
        <v>45306</v>
      </c>
      <c r="E746">
        <v>37</v>
      </c>
      <c r="F746">
        <v>46.81</v>
      </c>
      <c r="G746">
        <v>172.25</v>
      </c>
    </row>
    <row r="747" spans="4:7" x14ac:dyDescent="0.35">
      <c r="D747" s="1">
        <v>45307</v>
      </c>
      <c r="E747">
        <v>40</v>
      </c>
      <c r="F747">
        <v>42.94</v>
      </c>
      <c r="G747">
        <v>153.28</v>
      </c>
    </row>
    <row r="748" spans="4:7" x14ac:dyDescent="0.35">
      <c r="D748" s="1">
        <v>45308</v>
      </c>
      <c r="E748">
        <v>45</v>
      </c>
      <c r="F748">
        <v>40.159999999999997</v>
      </c>
      <c r="G748">
        <v>152.72999999999999</v>
      </c>
    </row>
    <row r="749" spans="4:7" x14ac:dyDescent="0.35">
      <c r="D749" s="1">
        <v>45309</v>
      </c>
      <c r="E749">
        <v>39</v>
      </c>
      <c r="F749">
        <v>44.98</v>
      </c>
      <c r="G749">
        <v>213.9</v>
      </c>
    </row>
    <row r="750" spans="4:7" x14ac:dyDescent="0.35">
      <c r="D750" s="1">
        <v>45310</v>
      </c>
      <c r="E750">
        <v>42</v>
      </c>
      <c r="F750">
        <v>35.229999999999997</v>
      </c>
      <c r="G750">
        <v>196.01</v>
      </c>
    </row>
    <row r="751" spans="4:7" x14ac:dyDescent="0.35">
      <c r="D751" s="1">
        <v>45311</v>
      </c>
      <c r="E751">
        <v>46</v>
      </c>
      <c r="F751">
        <v>44.87</v>
      </c>
      <c r="G751">
        <v>173.21</v>
      </c>
    </row>
    <row r="752" spans="4:7" x14ac:dyDescent="0.35">
      <c r="D752" s="1">
        <v>45312</v>
      </c>
      <c r="E752">
        <v>41</v>
      </c>
      <c r="F752">
        <v>53.78</v>
      </c>
      <c r="G752">
        <v>232.65</v>
      </c>
    </row>
    <row r="753" spans="4:7" x14ac:dyDescent="0.35">
      <c r="D753" s="1">
        <v>45313</v>
      </c>
      <c r="E753">
        <v>41</v>
      </c>
      <c r="F753">
        <v>54.52</v>
      </c>
      <c r="G753">
        <v>184.68</v>
      </c>
    </row>
    <row r="754" spans="4:7" x14ac:dyDescent="0.35">
      <c r="D754" s="1">
        <v>45314</v>
      </c>
      <c r="E754">
        <v>40</v>
      </c>
      <c r="F754">
        <v>43.31</v>
      </c>
      <c r="G754">
        <v>167.82</v>
      </c>
    </row>
    <row r="755" spans="4:7" x14ac:dyDescent="0.35">
      <c r="D755" s="1">
        <v>45315</v>
      </c>
      <c r="E755">
        <v>46</v>
      </c>
      <c r="F755">
        <v>51.27</v>
      </c>
      <c r="G755">
        <v>181.77</v>
      </c>
    </row>
    <row r="756" spans="4:7" x14ac:dyDescent="0.35">
      <c r="D756" s="1">
        <v>45316</v>
      </c>
      <c r="E756">
        <v>37</v>
      </c>
      <c r="F756">
        <v>38.380000000000003</v>
      </c>
      <c r="G756">
        <v>231.39</v>
      </c>
    </row>
    <row r="757" spans="4:7" x14ac:dyDescent="0.35">
      <c r="D757" s="1">
        <v>45317</v>
      </c>
      <c r="E757">
        <v>38</v>
      </c>
      <c r="F757">
        <v>47.93</v>
      </c>
      <c r="G757">
        <v>189.56</v>
      </c>
    </row>
    <row r="758" spans="4:7" x14ac:dyDescent="0.35">
      <c r="D758" s="1">
        <v>45318</v>
      </c>
      <c r="E758">
        <v>41</v>
      </c>
      <c r="F758">
        <v>46.95</v>
      </c>
      <c r="G758">
        <v>135.05000000000001</v>
      </c>
    </row>
    <row r="759" spans="4:7" x14ac:dyDescent="0.35">
      <c r="D759" s="1">
        <v>45319</v>
      </c>
      <c r="E759">
        <v>47</v>
      </c>
      <c r="F759">
        <v>37.869999999999997</v>
      </c>
      <c r="G759">
        <v>150.66999999999999</v>
      </c>
    </row>
    <row r="760" spans="4:7" x14ac:dyDescent="0.35">
      <c r="D760" s="1">
        <v>45320</v>
      </c>
      <c r="E760">
        <v>39</v>
      </c>
      <c r="F760">
        <v>53.58</v>
      </c>
      <c r="G760">
        <v>194.56</v>
      </c>
    </row>
    <row r="761" spans="4:7" x14ac:dyDescent="0.35">
      <c r="D761" s="1">
        <v>45321</v>
      </c>
      <c r="E761">
        <v>40</v>
      </c>
      <c r="F761">
        <v>46.3</v>
      </c>
      <c r="G761">
        <v>194.49</v>
      </c>
    </row>
    <row r="762" spans="4:7" x14ac:dyDescent="0.35">
      <c r="D762" s="1">
        <v>45322</v>
      </c>
      <c r="E762">
        <v>41</v>
      </c>
      <c r="F762">
        <v>54.05</v>
      </c>
      <c r="G762">
        <v>230.92</v>
      </c>
    </row>
    <row r="763" spans="4:7" x14ac:dyDescent="0.35">
      <c r="D763" s="1">
        <v>45323</v>
      </c>
      <c r="E763">
        <v>37</v>
      </c>
      <c r="F763">
        <v>47.99</v>
      </c>
      <c r="G763">
        <v>202.72</v>
      </c>
    </row>
    <row r="764" spans="4:7" x14ac:dyDescent="0.35">
      <c r="D764" s="1">
        <v>45324</v>
      </c>
      <c r="E764">
        <v>43</v>
      </c>
      <c r="F764">
        <v>50.37</v>
      </c>
      <c r="G764">
        <v>199.38</v>
      </c>
    </row>
    <row r="765" spans="4:7" x14ac:dyDescent="0.35">
      <c r="D765" s="1">
        <v>45325</v>
      </c>
      <c r="E765">
        <v>48</v>
      </c>
      <c r="F765">
        <v>51.47</v>
      </c>
      <c r="G765">
        <v>217.96</v>
      </c>
    </row>
    <row r="766" spans="4:7" x14ac:dyDescent="0.35">
      <c r="D766" s="1">
        <v>45326</v>
      </c>
      <c r="E766">
        <v>46</v>
      </c>
      <c r="F766">
        <v>49.09</v>
      </c>
      <c r="G766">
        <v>210.75</v>
      </c>
    </row>
    <row r="767" spans="4:7" x14ac:dyDescent="0.35">
      <c r="D767" s="1">
        <v>45327</v>
      </c>
      <c r="E767">
        <v>41</v>
      </c>
      <c r="F767">
        <v>40.07</v>
      </c>
      <c r="G767">
        <v>169.98</v>
      </c>
    </row>
    <row r="768" spans="4:7" x14ac:dyDescent="0.35">
      <c r="D768" s="1">
        <v>45328</v>
      </c>
      <c r="E768">
        <v>43</v>
      </c>
      <c r="F768">
        <v>40.71</v>
      </c>
      <c r="G768">
        <v>148.32</v>
      </c>
    </row>
    <row r="769" spans="4:7" x14ac:dyDescent="0.35">
      <c r="D769" s="1">
        <v>45329</v>
      </c>
      <c r="E769">
        <v>41</v>
      </c>
      <c r="F769">
        <v>39.1</v>
      </c>
      <c r="G769">
        <v>161.85</v>
      </c>
    </row>
    <row r="770" spans="4:7" x14ac:dyDescent="0.35">
      <c r="D770" s="1">
        <v>45330</v>
      </c>
      <c r="E770">
        <v>41</v>
      </c>
      <c r="F770">
        <v>44.5</v>
      </c>
      <c r="G770">
        <v>210.16</v>
      </c>
    </row>
    <row r="771" spans="4:7" x14ac:dyDescent="0.35">
      <c r="D771" s="1">
        <v>45331</v>
      </c>
      <c r="E771">
        <v>45</v>
      </c>
      <c r="F771">
        <v>51.24</v>
      </c>
      <c r="G771">
        <v>188.19</v>
      </c>
    </row>
    <row r="772" spans="4:7" x14ac:dyDescent="0.35">
      <c r="D772" s="1">
        <v>45332</v>
      </c>
      <c r="E772">
        <v>40</v>
      </c>
      <c r="F772">
        <v>44.45</v>
      </c>
      <c r="G772">
        <v>210.6</v>
      </c>
    </row>
    <row r="773" spans="4:7" x14ac:dyDescent="0.35">
      <c r="D773" s="1">
        <v>45333</v>
      </c>
      <c r="E773">
        <v>46</v>
      </c>
      <c r="F773">
        <v>50.62</v>
      </c>
      <c r="G773">
        <v>199.73</v>
      </c>
    </row>
    <row r="774" spans="4:7" x14ac:dyDescent="0.35">
      <c r="D774" s="1">
        <v>45334</v>
      </c>
      <c r="E774">
        <v>43</v>
      </c>
      <c r="F774">
        <v>43.3</v>
      </c>
      <c r="G774">
        <v>181.78</v>
      </c>
    </row>
    <row r="775" spans="4:7" x14ac:dyDescent="0.35">
      <c r="D775" s="1">
        <v>45335</v>
      </c>
      <c r="E775">
        <v>42</v>
      </c>
      <c r="F775">
        <v>38.39</v>
      </c>
      <c r="G775">
        <v>233.61</v>
      </c>
    </row>
    <row r="776" spans="4:7" x14ac:dyDescent="0.35">
      <c r="D776" s="1">
        <v>45336</v>
      </c>
      <c r="E776">
        <v>38</v>
      </c>
      <c r="F776">
        <v>53.31</v>
      </c>
      <c r="G776">
        <v>199.85</v>
      </c>
    </row>
    <row r="777" spans="4:7" x14ac:dyDescent="0.35">
      <c r="D777" s="1">
        <v>45337</v>
      </c>
      <c r="E777">
        <v>40</v>
      </c>
      <c r="F777">
        <v>37.4</v>
      </c>
      <c r="G777">
        <v>207.3</v>
      </c>
    </row>
    <row r="778" spans="4:7" x14ac:dyDescent="0.35">
      <c r="D778" s="1">
        <v>45338</v>
      </c>
      <c r="E778">
        <v>48</v>
      </c>
      <c r="F778">
        <v>49.56</v>
      </c>
      <c r="G778">
        <v>201.8</v>
      </c>
    </row>
    <row r="779" spans="4:7" x14ac:dyDescent="0.35">
      <c r="D779" s="1">
        <v>45339</v>
      </c>
      <c r="E779">
        <v>49</v>
      </c>
      <c r="F779">
        <v>35.26</v>
      </c>
      <c r="G779">
        <v>167.21</v>
      </c>
    </row>
    <row r="780" spans="4:7" x14ac:dyDescent="0.35">
      <c r="D780" s="1">
        <v>45340</v>
      </c>
      <c r="E780">
        <v>39</v>
      </c>
      <c r="F780">
        <v>41.81</v>
      </c>
      <c r="G780">
        <v>166.3</v>
      </c>
    </row>
    <row r="781" spans="4:7" x14ac:dyDescent="0.35">
      <c r="D781" s="1">
        <v>45341</v>
      </c>
      <c r="E781">
        <v>42</v>
      </c>
      <c r="F781">
        <v>37.44</v>
      </c>
      <c r="G781">
        <v>200.74</v>
      </c>
    </row>
    <row r="782" spans="4:7" x14ac:dyDescent="0.35">
      <c r="D782" s="1">
        <v>45342</v>
      </c>
      <c r="E782">
        <v>45</v>
      </c>
      <c r="F782">
        <v>46.26</v>
      </c>
      <c r="G782">
        <v>188.88</v>
      </c>
    </row>
    <row r="783" spans="4:7" x14ac:dyDescent="0.35">
      <c r="D783" s="1">
        <v>45343</v>
      </c>
      <c r="E783">
        <v>43</v>
      </c>
      <c r="F783">
        <v>35.28</v>
      </c>
      <c r="G783">
        <v>164.14</v>
      </c>
    </row>
    <row r="784" spans="4:7" x14ac:dyDescent="0.35">
      <c r="D784" s="1">
        <v>45344</v>
      </c>
      <c r="E784">
        <v>48</v>
      </c>
      <c r="F784">
        <v>53.94</v>
      </c>
      <c r="G784">
        <v>218.46</v>
      </c>
    </row>
    <row r="785" spans="4:7" x14ac:dyDescent="0.35">
      <c r="D785" s="1">
        <v>45345</v>
      </c>
      <c r="E785">
        <v>42</v>
      </c>
      <c r="F785">
        <v>48.4</v>
      </c>
      <c r="G785">
        <v>203.58</v>
      </c>
    </row>
    <row r="786" spans="4:7" x14ac:dyDescent="0.35">
      <c r="D786" s="1">
        <v>45346</v>
      </c>
      <c r="E786">
        <v>41</v>
      </c>
      <c r="F786">
        <v>43.09</v>
      </c>
      <c r="G786">
        <v>211.84</v>
      </c>
    </row>
    <row r="787" spans="4:7" x14ac:dyDescent="0.35">
      <c r="D787" s="1">
        <v>45347</v>
      </c>
      <c r="E787">
        <v>46</v>
      </c>
      <c r="F787">
        <v>36.97</v>
      </c>
      <c r="G787">
        <v>176.4</v>
      </c>
    </row>
    <row r="788" spans="4:7" x14ac:dyDescent="0.35">
      <c r="D788" s="1">
        <v>45348</v>
      </c>
      <c r="E788">
        <v>39</v>
      </c>
      <c r="F788">
        <v>38</v>
      </c>
      <c r="G788">
        <v>139.72999999999999</v>
      </c>
    </row>
    <row r="789" spans="4:7" x14ac:dyDescent="0.35">
      <c r="D789" s="1">
        <v>45349</v>
      </c>
      <c r="E789">
        <v>42</v>
      </c>
      <c r="F789">
        <v>51.81</v>
      </c>
      <c r="G789">
        <v>156.31</v>
      </c>
    </row>
    <row r="790" spans="4:7" x14ac:dyDescent="0.35">
      <c r="D790" s="1">
        <v>45350</v>
      </c>
      <c r="E790">
        <v>39</v>
      </c>
      <c r="F790">
        <v>39.880000000000003</v>
      </c>
      <c r="G790">
        <v>146.80000000000001</v>
      </c>
    </row>
    <row r="791" spans="4:7" x14ac:dyDescent="0.35">
      <c r="D791" s="1">
        <v>45351</v>
      </c>
      <c r="E791">
        <v>45</v>
      </c>
      <c r="F791">
        <v>48.13</v>
      </c>
      <c r="G791">
        <v>211.69</v>
      </c>
    </row>
    <row r="792" spans="4:7" x14ac:dyDescent="0.35">
      <c r="D792" s="1">
        <v>45352</v>
      </c>
      <c r="E792">
        <v>44</v>
      </c>
      <c r="F792">
        <v>40.65</v>
      </c>
      <c r="G792">
        <v>208.61</v>
      </c>
    </row>
    <row r="793" spans="4:7" x14ac:dyDescent="0.35">
      <c r="D793" s="1">
        <v>45353</v>
      </c>
      <c r="E793">
        <v>37</v>
      </c>
      <c r="F793">
        <v>37.26</v>
      </c>
      <c r="G793">
        <v>212.79</v>
      </c>
    </row>
    <row r="794" spans="4:7" x14ac:dyDescent="0.35">
      <c r="D794" s="1">
        <v>45354</v>
      </c>
      <c r="E794">
        <v>49</v>
      </c>
      <c r="F794">
        <v>40.71</v>
      </c>
      <c r="G794">
        <v>166.14</v>
      </c>
    </row>
    <row r="795" spans="4:7" x14ac:dyDescent="0.35">
      <c r="D795" s="1">
        <v>45355</v>
      </c>
      <c r="E795">
        <v>41</v>
      </c>
      <c r="F795">
        <v>41.23</v>
      </c>
      <c r="G795">
        <v>212.47</v>
      </c>
    </row>
    <row r="796" spans="4:7" x14ac:dyDescent="0.35">
      <c r="D796" s="1">
        <v>45356</v>
      </c>
      <c r="E796">
        <v>46</v>
      </c>
      <c r="F796">
        <v>47.73</v>
      </c>
      <c r="G796">
        <v>190.89</v>
      </c>
    </row>
    <row r="797" spans="4:7" x14ac:dyDescent="0.35">
      <c r="D797" s="1">
        <v>45357</v>
      </c>
      <c r="E797">
        <v>39</v>
      </c>
      <c r="F797">
        <v>42.06</v>
      </c>
      <c r="G797">
        <v>156.94999999999999</v>
      </c>
    </row>
    <row r="798" spans="4:7" x14ac:dyDescent="0.35">
      <c r="D798" s="1">
        <v>45358</v>
      </c>
      <c r="E798">
        <v>39</v>
      </c>
      <c r="F798">
        <v>43.38</v>
      </c>
      <c r="G798">
        <v>174.17</v>
      </c>
    </row>
    <row r="799" spans="4:7" x14ac:dyDescent="0.35">
      <c r="D799" s="1">
        <v>45359</v>
      </c>
      <c r="E799">
        <v>45</v>
      </c>
      <c r="F799">
        <v>37.81</v>
      </c>
      <c r="G799">
        <v>141.49</v>
      </c>
    </row>
    <row r="800" spans="4:7" x14ac:dyDescent="0.35">
      <c r="D800" s="1">
        <v>45360</v>
      </c>
      <c r="E800">
        <v>40</v>
      </c>
      <c r="F800">
        <v>43.69</v>
      </c>
      <c r="G800">
        <v>136.22999999999999</v>
      </c>
    </row>
    <row r="801" spans="4:7" x14ac:dyDescent="0.35">
      <c r="D801" s="1">
        <v>45361</v>
      </c>
      <c r="E801">
        <v>38</v>
      </c>
      <c r="F801">
        <v>50.34</v>
      </c>
      <c r="G801">
        <v>135.54</v>
      </c>
    </row>
    <row r="802" spans="4:7" x14ac:dyDescent="0.35">
      <c r="D802" s="1">
        <v>45362</v>
      </c>
      <c r="E802">
        <v>49</v>
      </c>
      <c r="F802">
        <v>36.270000000000003</v>
      </c>
      <c r="G802">
        <v>214.93</v>
      </c>
    </row>
    <row r="803" spans="4:7" x14ac:dyDescent="0.35">
      <c r="D803" s="1">
        <v>45363</v>
      </c>
      <c r="E803">
        <v>42</v>
      </c>
      <c r="F803">
        <v>51.42</v>
      </c>
      <c r="G803">
        <v>205.12</v>
      </c>
    </row>
    <row r="804" spans="4:7" x14ac:dyDescent="0.35">
      <c r="D804" s="1">
        <v>45364</v>
      </c>
      <c r="E804">
        <v>46</v>
      </c>
      <c r="F804">
        <v>52.97</v>
      </c>
      <c r="G804">
        <v>167.15</v>
      </c>
    </row>
    <row r="805" spans="4:7" x14ac:dyDescent="0.35">
      <c r="D805" s="1">
        <v>45365</v>
      </c>
      <c r="E805">
        <v>48</v>
      </c>
      <c r="F805">
        <v>46.84</v>
      </c>
      <c r="G805">
        <v>170.77</v>
      </c>
    </row>
    <row r="806" spans="4:7" x14ac:dyDescent="0.35">
      <c r="D806" s="1">
        <v>45366</v>
      </c>
      <c r="E806">
        <v>45</v>
      </c>
      <c r="F806">
        <v>38.130000000000003</v>
      </c>
      <c r="G806">
        <v>207.8</v>
      </c>
    </row>
    <row r="807" spans="4:7" x14ac:dyDescent="0.35">
      <c r="D807" s="1">
        <v>45367</v>
      </c>
      <c r="E807">
        <v>39</v>
      </c>
      <c r="F807">
        <v>53.71</v>
      </c>
      <c r="G807">
        <v>219.7</v>
      </c>
    </row>
    <row r="808" spans="4:7" x14ac:dyDescent="0.35">
      <c r="D808" s="1">
        <v>45368</v>
      </c>
      <c r="E808">
        <v>49</v>
      </c>
      <c r="F808">
        <v>52.65</v>
      </c>
      <c r="G808">
        <v>188.54</v>
      </c>
    </row>
    <row r="809" spans="4:7" x14ac:dyDescent="0.35">
      <c r="D809" s="1">
        <v>45369</v>
      </c>
      <c r="E809">
        <v>41</v>
      </c>
      <c r="F809">
        <v>39.9</v>
      </c>
      <c r="G809">
        <v>188.02</v>
      </c>
    </row>
    <row r="810" spans="4:7" x14ac:dyDescent="0.35">
      <c r="D810" s="1">
        <v>45370</v>
      </c>
      <c r="E810">
        <v>48</v>
      </c>
      <c r="F810">
        <v>35.81</v>
      </c>
      <c r="G810">
        <v>189.55</v>
      </c>
    </row>
    <row r="811" spans="4:7" x14ac:dyDescent="0.35">
      <c r="D811" s="1">
        <v>45371</v>
      </c>
      <c r="E811">
        <v>40</v>
      </c>
      <c r="F811">
        <v>44.7</v>
      </c>
      <c r="G811">
        <v>214.91</v>
      </c>
    </row>
    <row r="812" spans="4:7" x14ac:dyDescent="0.35">
      <c r="D812" s="1">
        <v>45372</v>
      </c>
      <c r="E812">
        <v>38</v>
      </c>
      <c r="F812">
        <v>35.6</v>
      </c>
      <c r="G812">
        <v>154.93</v>
      </c>
    </row>
    <row r="813" spans="4:7" x14ac:dyDescent="0.35">
      <c r="D813" s="1">
        <v>45373</v>
      </c>
      <c r="E813">
        <v>44</v>
      </c>
      <c r="F813">
        <v>41.99</v>
      </c>
      <c r="G813">
        <v>171.46</v>
      </c>
    </row>
    <row r="814" spans="4:7" x14ac:dyDescent="0.35">
      <c r="D814" s="1">
        <v>45374</v>
      </c>
      <c r="E814">
        <v>41</v>
      </c>
      <c r="F814">
        <v>52.97</v>
      </c>
      <c r="G814">
        <v>188.31</v>
      </c>
    </row>
    <row r="815" spans="4:7" x14ac:dyDescent="0.35">
      <c r="D815" s="1">
        <v>45375</v>
      </c>
      <c r="E815">
        <v>43</v>
      </c>
      <c r="F815">
        <v>53.13</v>
      </c>
      <c r="G815">
        <v>139.65</v>
      </c>
    </row>
    <row r="816" spans="4:7" x14ac:dyDescent="0.35">
      <c r="D816" s="1">
        <v>45376</v>
      </c>
      <c r="E816">
        <v>48</v>
      </c>
      <c r="F816">
        <v>45.72</v>
      </c>
      <c r="G816">
        <v>151.44999999999999</v>
      </c>
    </row>
    <row r="817" spans="4:7" x14ac:dyDescent="0.35">
      <c r="D817" s="1">
        <v>45377</v>
      </c>
      <c r="E817">
        <v>46</v>
      </c>
      <c r="F817">
        <v>51.75</v>
      </c>
      <c r="G817">
        <v>159.06</v>
      </c>
    </row>
    <row r="818" spans="4:7" x14ac:dyDescent="0.35">
      <c r="D818" s="1">
        <v>45378</v>
      </c>
      <c r="E818">
        <v>42</v>
      </c>
      <c r="F818">
        <v>35.979999999999997</v>
      </c>
      <c r="G818">
        <v>145.57</v>
      </c>
    </row>
    <row r="819" spans="4:7" x14ac:dyDescent="0.35">
      <c r="D819" s="1">
        <v>45379</v>
      </c>
      <c r="E819">
        <v>49</v>
      </c>
      <c r="F819">
        <v>50.89</v>
      </c>
      <c r="G819">
        <v>174.67</v>
      </c>
    </row>
    <row r="820" spans="4:7" x14ac:dyDescent="0.35">
      <c r="D820" s="1">
        <v>45380</v>
      </c>
      <c r="E820">
        <v>44</v>
      </c>
      <c r="F820">
        <v>50.56</v>
      </c>
      <c r="G820">
        <v>178.85</v>
      </c>
    </row>
    <row r="821" spans="4:7" x14ac:dyDescent="0.35">
      <c r="D821" s="1">
        <v>45381</v>
      </c>
      <c r="E821">
        <v>42</v>
      </c>
      <c r="F821">
        <v>45.04</v>
      </c>
      <c r="G821">
        <v>220.97</v>
      </c>
    </row>
    <row r="822" spans="4:7" x14ac:dyDescent="0.35">
      <c r="D822" s="1">
        <v>45382</v>
      </c>
      <c r="E822">
        <v>40</v>
      </c>
      <c r="F822">
        <v>47.05</v>
      </c>
      <c r="G822">
        <v>207.08</v>
      </c>
    </row>
    <row r="823" spans="4:7" x14ac:dyDescent="0.35">
      <c r="D823" s="1">
        <v>45383</v>
      </c>
      <c r="E823">
        <v>39</v>
      </c>
      <c r="F823">
        <v>46.07</v>
      </c>
      <c r="G823">
        <v>143.03</v>
      </c>
    </row>
    <row r="824" spans="4:7" x14ac:dyDescent="0.35">
      <c r="D824" s="1">
        <v>45384</v>
      </c>
      <c r="E824">
        <v>40</v>
      </c>
      <c r="F824">
        <v>43.57</v>
      </c>
      <c r="G824">
        <v>197.2</v>
      </c>
    </row>
    <row r="825" spans="4:7" x14ac:dyDescent="0.35">
      <c r="D825" s="1">
        <v>45385</v>
      </c>
      <c r="E825">
        <v>41</v>
      </c>
      <c r="F825">
        <v>49.68</v>
      </c>
      <c r="G825">
        <v>190.39</v>
      </c>
    </row>
    <row r="826" spans="4:7" x14ac:dyDescent="0.35">
      <c r="D826" s="1">
        <v>45386</v>
      </c>
      <c r="E826">
        <v>46</v>
      </c>
      <c r="F826">
        <v>50.24</v>
      </c>
      <c r="G826">
        <v>180.1</v>
      </c>
    </row>
    <row r="827" spans="4:7" x14ac:dyDescent="0.35">
      <c r="D827" s="1">
        <v>45387</v>
      </c>
      <c r="E827">
        <v>39</v>
      </c>
      <c r="F827">
        <v>48.2</v>
      </c>
      <c r="G827">
        <v>214.87</v>
      </c>
    </row>
    <row r="828" spans="4:7" x14ac:dyDescent="0.35">
      <c r="D828" s="1">
        <v>45388</v>
      </c>
      <c r="E828">
        <v>46</v>
      </c>
      <c r="F828">
        <v>48.34</v>
      </c>
      <c r="G828">
        <v>135.29</v>
      </c>
    </row>
    <row r="829" spans="4:7" x14ac:dyDescent="0.35">
      <c r="D829" s="1">
        <v>45389</v>
      </c>
      <c r="E829">
        <v>41</v>
      </c>
      <c r="F829">
        <v>36.49</v>
      </c>
      <c r="G829">
        <v>214.17</v>
      </c>
    </row>
    <row r="830" spans="4:7" x14ac:dyDescent="0.35">
      <c r="D830" s="1">
        <v>45390</v>
      </c>
      <c r="E830">
        <v>45</v>
      </c>
      <c r="F830">
        <v>34.36</v>
      </c>
      <c r="G830">
        <v>190.01</v>
      </c>
    </row>
    <row r="831" spans="4:7" x14ac:dyDescent="0.35">
      <c r="D831" s="1">
        <v>45391</v>
      </c>
      <c r="E831">
        <v>50</v>
      </c>
      <c r="F831">
        <v>34.93</v>
      </c>
      <c r="G831">
        <v>147.46</v>
      </c>
    </row>
    <row r="832" spans="4:7" x14ac:dyDescent="0.35">
      <c r="D832" s="1">
        <v>45392</v>
      </c>
      <c r="E832">
        <v>39</v>
      </c>
      <c r="F832">
        <v>48.87</v>
      </c>
      <c r="G832">
        <v>186.69</v>
      </c>
    </row>
    <row r="833" spans="4:7" x14ac:dyDescent="0.35">
      <c r="D833" s="1">
        <v>45393</v>
      </c>
      <c r="E833">
        <v>41</v>
      </c>
      <c r="F833">
        <v>43.96</v>
      </c>
      <c r="G833">
        <v>205.96</v>
      </c>
    </row>
    <row r="834" spans="4:7" x14ac:dyDescent="0.35">
      <c r="D834" s="1">
        <v>45394</v>
      </c>
      <c r="E834">
        <v>47</v>
      </c>
      <c r="F834">
        <v>48.31</v>
      </c>
      <c r="G834">
        <v>141.94</v>
      </c>
    </row>
    <row r="835" spans="4:7" x14ac:dyDescent="0.35">
      <c r="D835" s="1">
        <v>45395</v>
      </c>
      <c r="E835">
        <v>41</v>
      </c>
      <c r="F835">
        <v>39.270000000000003</v>
      </c>
      <c r="G835">
        <v>168.45</v>
      </c>
    </row>
    <row r="836" spans="4:7" x14ac:dyDescent="0.35">
      <c r="D836" s="1">
        <v>45396</v>
      </c>
      <c r="E836">
        <v>41</v>
      </c>
      <c r="F836">
        <v>45.27</v>
      </c>
      <c r="G836">
        <v>200.56</v>
      </c>
    </row>
    <row r="837" spans="4:7" x14ac:dyDescent="0.35">
      <c r="D837" s="1">
        <v>45397</v>
      </c>
      <c r="E837">
        <v>49</v>
      </c>
      <c r="F837">
        <v>36.57</v>
      </c>
      <c r="G837">
        <v>218.18</v>
      </c>
    </row>
    <row r="838" spans="4:7" x14ac:dyDescent="0.35">
      <c r="D838" s="1">
        <v>45398</v>
      </c>
      <c r="E838">
        <v>47</v>
      </c>
      <c r="F838">
        <v>45.88</v>
      </c>
      <c r="G838">
        <v>200.11</v>
      </c>
    </row>
    <row r="839" spans="4:7" x14ac:dyDescent="0.35">
      <c r="D839" s="1">
        <v>45399</v>
      </c>
      <c r="E839">
        <v>48</v>
      </c>
      <c r="F839">
        <v>50.97</v>
      </c>
      <c r="G839">
        <v>184.64</v>
      </c>
    </row>
    <row r="840" spans="4:7" x14ac:dyDescent="0.35">
      <c r="D840" s="1">
        <v>45400</v>
      </c>
      <c r="E840">
        <v>41</v>
      </c>
      <c r="F840">
        <v>53.82</v>
      </c>
      <c r="G840">
        <v>180.52</v>
      </c>
    </row>
    <row r="841" spans="4:7" x14ac:dyDescent="0.35">
      <c r="D841" s="1">
        <v>45401</v>
      </c>
      <c r="E841">
        <v>50</v>
      </c>
      <c r="F841">
        <v>49.77</v>
      </c>
      <c r="G841">
        <v>167.05</v>
      </c>
    </row>
    <row r="842" spans="4:7" x14ac:dyDescent="0.35">
      <c r="D842" s="1">
        <v>45402</v>
      </c>
      <c r="E842">
        <v>43</v>
      </c>
      <c r="F842">
        <v>50.93</v>
      </c>
      <c r="G842">
        <v>170.7</v>
      </c>
    </row>
    <row r="843" spans="4:7" x14ac:dyDescent="0.35">
      <c r="D843" s="1">
        <v>45403</v>
      </c>
      <c r="E843">
        <v>46</v>
      </c>
      <c r="F843">
        <v>47.78</v>
      </c>
      <c r="G843">
        <v>195.97</v>
      </c>
    </row>
    <row r="844" spans="4:7" x14ac:dyDescent="0.35">
      <c r="D844" s="1">
        <v>45404</v>
      </c>
      <c r="E844">
        <v>40</v>
      </c>
      <c r="F844">
        <v>50.1</v>
      </c>
      <c r="G844">
        <v>150.69</v>
      </c>
    </row>
    <row r="845" spans="4:7" x14ac:dyDescent="0.35">
      <c r="D845" s="1">
        <v>45405</v>
      </c>
      <c r="E845">
        <v>43</v>
      </c>
      <c r="F845">
        <v>39.39</v>
      </c>
      <c r="G845">
        <v>167.96</v>
      </c>
    </row>
    <row r="846" spans="4:7" x14ac:dyDescent="0.35">
      <c r="D846" s="1">
        <v>45406</v>
      </c>
      <c r="E846">
        <v>45</v>
      </c>
      <c r="F846">
        <v>46.43</v>
      </c>
      <c r="G846">
        <v>186.18</v>
      </c>
    </row>
    <row r="847" spans="4:7" x14ac:dyDescent="0.35">
      <c r="D847" s="1">
        <v>45407</v>
      </c>
      <c r="E847">
        <v>48</v>
      </c>
      <c r="F847">
        <v>50.31</v>
      </c>
      <c r="G847">
        <v>207.01</v>
      </c>
    </row>
    <row r="848" spans="4:7" x14ac:dyDescent="0.35">
      <c r="D848" s="1">
        <v>45408</v>
      </c>
      <c r="E848">
        <v>41</v>
      </c>
      <c r="F848">
        <v>43.22</v>
      </c>
      <c r="G848">
        <v>205.89</v>
      </c>
    </row>
    <row r="849" spans="4:7" x14ac:dyDescent="0.35">
      <c r="D849" s="1">
        <v>45409</v>
      </c>
      <c r="E849">
        <v>42</v>
      </c>
      <c r="F849">
        <v>38.11</v>
      </c>
      <c r="G849">
        <v>217.58</v>
      </c>
    </row>
    <row r="850" spans="4:7" x14ac:dyDescent="0.35">
      <c r="D850" s="1">
        <v>45410</v>
      </c>
      <c r="E850">
        <v>42</v>
      </c>
      <c r="F850">
        <v>40.64</v>
      </c>
      <c r="G850">
        <v>200.52</v>
      </c>
    </row>
    <row r="851" spans="4:7" x14ac:dyDescent="0.35">
      <c r="D851" s="1">
        <v>45411</v>
      </c>
      <c r="E851">
        <v>44</v>
      </c>
      <c r="F851">
        <v>37.090000000000003</v>
      </c>
      <c r="G851">
        <v>185.83</v>
      </c>
    </row>
    <row r="852" spans="4:7" x14ac:dyDescent="0.35">
      <c r="D852" s="1">
        <v>45412</v>
      </c>
      <c r="E852">
        <v>45</v>
      </c>
      <c r="F852">
        <v>45.44</v>
      </c>
      <c r="G852">
        <v>182.12</v>
      </c>
    </row>
    <row r="853" spans="4:7" x14ac:dyDescent="0.35">
      <c r="D853" s="1">
        <v>45413</v>
      </c>
      <c r="E853">
        <v>44</v>
      </c>
      <c r="F853">
        <v>50.13</v>
      </c>
      <c r="G853">
        <v>138.88999999999999</v>
      </c>
    </row>
    <row r="854" spans="4:7" x14ac:dyDescent="0.35">
      <c r="D854" s="1">
        <v>45414</v>
      </c>
      <c r="E854">
        <v>42</v>
      </c>
      <c r="F854">
        <v>43.06</v>
      </c>
      <c r="G854">
        <v>151.26</v>
      </c>
    </row>
    <row r="855" spans="4:7" x14ac:dyDescent="0.35">
      <c r="D855" s="1">
        <v>45415</v>
      </c>
      <c r="E855">
        <v>50</v>
      </c>
      <c r="F855">
        <v>46.77</v>
      </c>
      <c r="G855">
        <v>202.53</v>
      </c>
    </row>
    <row r="856" spans="4:7" x14ac:dyDescent="0.35">
      <c r="D856" s="1">
        <v>45416</v>
      </c>
      <c r="E856">
        <v>44</v>
      </c>
      <c r="F856">
        <v>37.56</v>
      </c>
      <c r="G856">
        <v>177.08</v>
      </c>
    </row>
    <row r="857" spans="4:7" x14ac:dyDescent="0.35">
      <c r="D857" s="1">
        <v>45417</v>
      </c>
      <c r="E857">
        <v>49</v>
      </c>
      <c r="F857">
        <v>52.34</v>
      </c>
      <c r="G857">
        <v>178.5</v>
      </c>
    </row>
    <row r="858" spans="4:7" x14ac:dyDescent="0.35">
      <c r="D858" s="1">
        <v>45418</v>
      </c>
      <c r="E858">
        <v>48</v>
      </c>
      <c r="F858">
        <v>51.57</v>
      </c>
      <c r="G858">
        <v>231.25</v>
      </c>
    </row>
    <row r="859" spans="4:7" x14ac:dyDescent="0.35">
      <c r="D859" s="1">
        <v>45419</v>
      </c>
      <c r="E859">
        <v>47</v>
      </c>
      <c r="F859">
        <v>49.75</v>
      </c>
      <c r="G859">
        <v>211.61</v>
      </c>
    </row>
    <row r="860" spans="4:7" x14ac:dyDescent="0.35">
      <c r="D860" s="1">
        <v>45420</v>
      </c>
      <c r="E860">
        <v>42</v>
      </c>
      <c r="F860">
        <v>36.49</v>
      </c>
      <c r="G860">
        <v>135.22999999999999</v>
      </c>
    </row>
    <row r="861" spans="4:7" x14ac:dyDescent="0.35">
      <c r="D861" s="1">
        <v>45421</v>
      </c>
      <c r="E861">
        <v>46</v>
      </c>
      <c r="F861">
        <v>35.76</v>
      </c>
      <c r="G861">
        <v>138.65</v>
      </c>
    </row>
    <row r="862" spans="4:7" x14ac:dyDescent="0.35">
      <c r="D862" s="1">
        <v>45422</v>
      </c>
      <c r="E862">
        <v>47</v>
      </c>
      <c r="F862">
        <v>53.33</v>
      </c>
      <c r="G862">
        <v>165.73</v>
      </c>
    </row>
    <row r="863" spans="4:7" x14ac:dyDescent="0.35">
      <c r="D863" s="1">
        <v>45423</v>
      </c>
      <c r="E863">
        <v>42</v>
      </c>
      <c r="F863">
        <v>39.99</v>
      </c>
      <c r="G863">
        <v>171.81</v>
      </c>
    </row>
    <row r="864" spans="4:7" x14ac:dyDescent="0.35">
      <c r="D864" s="1">
        <v>45424</v>
      </c>
      <c r="E864">
        <v>43</v>
      </c>
      <c r="F864">
        <v>41.31</v>
      </c>
      <c r="G864">
        <v>180.47</v>
      </c>
    </row>
    <row r="865" spans="4:7" x14ac:dyDescent="0.35">
      <c r="D865" s="1">
        <v>45425</v>
      </c>
      <c r="E865">
        <v>45</v>
      </c>
      <c r="F865">
        <v>42.22</v>
      </c>
      <c r="G865">
        <v>216.76</v>
      </c>
    </row>
    <row r="866" spans="4:7" x14ac:dyDescent="0.35">
      <c r="D866" s="1">
        <v>45426</v>
      </c>
      <c r="E866">
        <v>48</v>
      </c>
      <c r="F866">
        <v>39.799999999999997</v>
      </c>
      <c r="G866">
        <v>224.94</v>
      </c>
    </row>
    <row r="867" spans="4:7" x14ac:dyDescent="0.35">
      <c r="D867" s="1">
        <v>45427</v>
      </c>
      <c r="E867">
        <v>49</v>
      </c>
      <c r="F867">
        <v>38.159999999999997</v>
      </c>
      <c r="G867">
        <v>189.82</v>
      </c>
    </row>
    <row r="868" spans="4:7" x14ac:dyDescent="0.35">
      <c r="D868" s="1">
        <v>45428</v>
      </c>
      <c r="E868">
        <v>42</v>
      </c>
      <c r="F868">
        <v>42.24</v>
      </c>
      <c r="G868">
        <v>216.61</v>
      </c>
    </row>
    <row r="869" spans="4:7" x14ac:dyDescent="0.35">
      <c r="D869" s="1">
        <v>45429</v>
      </c>
      <c r="E869">
        <v>46</v>
      </c>
      <c r="F869">
        <v>45.61</v>
      </c>
      <c r="G869">
        <v>225.26</v>
      </c>
    </row>
    <row r="870" spans="4:7" x14ac:dyDescent="0.35">
      <c r="D870" s="1">
        <v>45430</v>
      </c>
      <c r="E870">
        <v>42</v>
      </c>
      <c r="F870">
        <v>41.79</v>
      </c>
      <c r="G870">
        <v>228.39</v>
      </c>
    </row>
    <row r="871" spans="4:7" x14ac:dyDescent="0.35">
      <c r="D871" s="1">
        <v>45431</v>
      </c>
      <c r="E871">
        <v>41</v>
      </c>
      <c r="F871">
        <v>52.88</v>
      </c>
      <c r="G871">
        <v>194.12</v>
      </c>
    </row>
    <row r="872" spans="4:7" x14ac:dyDescent="0.35">
      <c r="D872" s="1">
        <v>45432</v>
      </c>
      <c r="E872">
        <v>44</v>
      </c>
      <c r="F872">
        <v>49.32</v>
      </c>
      <c r="G872">
        <v>223.17</v>
      </c>
    </row>
    <row r="873" spans="4:7" x14ac:dyDescent="0.35">
      <c r="D873" s="1">
        <v>45433</v>
      </c>
      <c r="E873">
        <v>43</v>
      </c>
      <c r="F873">
        <v>36.46</v>
      </c>
      <c r="G873">
        <v>186.19</v>
      </c>
    </row>
    <row r="874" spans="4:7" x14ac:dyDescent="0.35">
      <c r="D874" s="1">
        <v>45434</v>
      </c>
      <c r="E874">
        <v>51</v>
      </c>
      <c r="F874">
        <v>36.82</v>
      </c>
      <c r="G874">
        <v>178.15</v>
      </c>
    </row>
    <row r="875" spans="4:7" x14ac:dyDescent="0.35">
      <c r="D875" s="1">
        <v>45435</v>
      </c>
      <c r="E875">
        <v>46</v>
      </c>
      <c r="F875">
        <v>51.45</v>
      </c>
      <c r="G875">
        <v>230.27</v>
      </c>
    </row>
    <row r="876" spans="4:7" x14ac:dyDescent="0.35">
      <c r="D876" s="1">
        <v>45436</v>
      </c>
      <c r="E876">
        <v>46</v>
      </c>
      <c r="F876">
        <v>41.34</v>
      </c>
      <c r="G876">
        <v>212.68</v>
      </c>
    </row>
    <row r="877" spans="4:7" x14ac:dyDescent="0.35">
      <c r="D877" s="1">
        <v>45437</v>
      </c>
      <c r="E877">
        <v>51</v>
      </c>
      <c r="F877">
        <v>46.89</v>
      </c>
      <c r="G877">
        <v>142.91</v>
      </c>
    </row>
    <row r="878" spans="4:7" x14ac:dyDescent="0.35">
      <c r="D878" s="1">
        <v>45438</v>
      </c>
      <c r="E878">
        <v>47</v>
      </c>
      <c r="F878">
        <v>35.9</v>
      </c>
      <c r="G878">
        <v>155.78</v>
      </c>
    </row>
    <row r="879" spans="4:7" x14ac:dyDescent="0.35">
      <c r="D879" s="1">
        <v>45439</v>
      </c>
      <c r="E879">
        <v>47</v>
      </c>
      <c r="F879">
        <v>37.299999999999997</v>
      </c>
      <c r="G879">
        <v>147.79</v>
      </c>
    </row>
    <row r="880" spans="4:7" x14ac:dyDescent="0.35">
      <c r="D880" s="1">
        <v>45440</v>
      </c>
      <c r="E880">
        <v>43</v>
      </c>
      <c r="F880">
        <v>46.42</v>
      </c>
      <c r="G880">
        <v>204.37</v>
      </c>
    </row>
    <row r="881" spans="4:7" x14ac:dyDescent="0.35">
      <c r="D881" s="1">
        <v>45441</v>
      </c>
      <c r="E881">
        <v>50</v>
      </c>
      <c r="F881">
        <v>35.5</v>
      </c>
      <c r="G881">
        <v>191.27</v>
      </c>
    </row>
    <row r="882" spans="4:7" x14ac:dyDescent="0.35">
      <c r="D882" s="1">
        <v>45442</v>
      </c>
      <c r="E882">
        <v>45</v>
      </c>
      <c r="F882">
        <v>40.659999999999997</v>
      </c>
      <c r="G882">
        <v>232.96</v>
      </c>
    </row>
    <row r="883" spans="4:7" x14ac:dyDescent="0.35">
      <c r="D883" s="1">
        <v>45443</v>
      </c>
      <c r="E883">
        <v>45</v>
      </c>
      <c r="F883">
        <v>53.3</v>
      </c>
      <c r="G883">
        <v>200.21</v>
      </c>
    </row>
    <row r="884" spans="4:7" x14ac:dyDescent="0.35">
      <c r="D884" s="1">
        <v>45444</v>
      </c>
      <c r="E884">
        <v>44</v>
      </c>
      <c r="F884">
        <v>35.659999999999997</v>
      </c>
      <c r="G884">
        <v>192.48</v>
      </c>
    </row>
    <row r="885" spans="4:7" x14ac:dyDescent="0.35">
      <c r="D885" s="1">
        <v>45445</v>
      </c>
      <c r="E885">
        <v>52</v>
      </c>
      <c r="F885">
        <v>35.75</v>
      </c>
      <c r="G885">
        <v>216.03</v>
      </c>
    </row>
    <row r="886" spans="4:7" x14ac:dyDescent="0.35">
      <c r="D886" s="1">
        <v>45446</v>
      </c>
      <c r="E886">
        <v>42</v>
      </c>
      <c r="F886">
        <v>34.47</v>
      </c>
      <c r="G886">
        <v>180.88</v>
      </c>
    </row>
    <row r="887" spans="4:7" x14ac:dyDescent="0.35">
      <c r="D887" s="1">
        <v>45447</v>
      </c>
      <c r="E887">
        <v>49</v>
      </c>
      <c r="F887">
        <v>35.090000000000003</v>
      </c>
      <c r="G887">
        <v>229.28</v>
      </c>
    </row>
    <row r="888" spans="4:7" x14ac:dyDescent="0.35">
      <c r="D888" s="1">
        <v>45448</v>
      </c>
      <c r="E888">
        <v>47</v>
      </c>
      <c r="F888">
        <v>33.51</v>
      </c>
      <c r="G888">
        <v>230.22</v>
      </c>
    </row>
    <row r="889" spans="4:7" x14ac:dyDescent="0.35">
      <c r="D889" s="1">
        <v>45449</v>
      </c>
      <c r="E889">
        <v>42</v>
      </c>
      <c r="F889">
        <v>39.880000000000003</v>
      </c>
      <c r="G889">
        <v>198.43</v>
      </c>
    </row>
    <row r="890" spans="4:7" x14ac:dyDescent="0.35">
      <c r="D890" s="1">
        <v>45450</v>
      </c>
      <c r="E890">
        <v>47</v>
      </c>
      <c r="F890">
        <v>40.07</v>
      </c>
      <c r="G890">
        <v>171.69</v>
      </c>
    </row>
    <row r="891" spans="4:7" x14ac:dyDescent="0.35">
      <c r="D891" s="1">
        <v>45451</v>
      </c>
      <c r="E891">
        <v>45</v>
      </c>
      <c r="F891">
        <v>38.21</v>
      </c>
      <c r="G891">
        <v>167.73</v>
      </c>
    </row>
    <row r="892" spans="4:7" x14ac:dyDescent="0.35">
      <c r="D892" s="1">
        <v>45452</v>
      </c>
      <c r="E892">
        <v>49</v>
      </c>
      <c r="F892">
        <v>39.340000000000003</v>
      </c>
      <c r="G892">
        <v>200</v>
      </c>
    </row>
    <row r="893" spans="4:7" x14ac:dyDescent="0.35">
      <c r="D893" s="1">
        <v>45453</v>
      </c>
      <c r="E893">
        <v>45</v>
      </c>
      <c r="F893">
        <v>46.62</v>
      </c>
      <c r="G893">
        <v>203.4</v>
      </c>
    </row>
    <row r="894" spans="4:7" x14ac:dyDescent="0.35">
      <c r="D894" s="1">
        <v>45454</v>
      </c>
      <c r="E894">
        <v>46</v>
      </c>
      <c r="F894">
        <v>47.57</v>
      </c>
      <c r="G894">
        <v>163.93</v>
      </c>
    </row>
    <row r="895" spans="4:7" x14ac:dyDescent="0.35">
      <c r="D895" s="1">
        <v>45455</v>
      </c>
      <c r="E895">
        <v>45</v>
      </c>
      <c r="F895">
        <v>43.51</v>
      </c>
      <c r="G895">
        <v>217.14</v>
      </c>
    </row>
    <row r="896" spans="4:7" x14ac:dyDescent="0.35">
      <c r="D896" s="1">
        <v>45456</v>
      </c>
      <c r="E896">
        <v>49</v>
      </c>
      <c r="F896">
        <v>38.32</v>
      </c>
      <c r="G896">
        <v>149.77000000000001</v>
      </c>
    </row>
    <row r="897" spans="4:7" x14ac:dyDescent="0.35">
      <c r="D897" s="1">
        <v>45457</v>
      </c>
      <c r="E897">
        <v>44</v>
      </c>
      <c r="F897">
        <v>37.340000000000003</v>
      </c>
      <c r="G897">
        <v>153.1</v>
      </c>
    </row>
    <row r="898" spans="4:7" x14ac:dyDescent="0.35">
      <c r="D898" s="1">
        <v>45458</v>
      </c>
      <c r="E898">
        <v>47</v>
      </c>
      <c r="F898">
        <v>47.47</v>
      </c>
      <c r="G898">
        <v>154.32</v>
      </c>
    </row>
    <row r="899" spans="4:7" x14ac:dyDescent="0.35">
      <c r="D899" s="1">
        <v>45459</v>
      </c>
      <c r="E899">
        <v>46</v>
      </c>
      <c r="F899">
        <v>45.21</v>
      </c>
      <c r="G899">
        <v>232.54</v>
      </c>
    </row>
    <row r="900" spans="4:7" x14ac:dyDescent="0.35">
      <c r="D900" s="1">
        <v>45460</v>
      </c>
      <c r="E900">
        <v>44</v>
      </c>
      <c r="F900">
        <v>35.75</v>
      </c>
      <c r="G900">
        <v>216.42</v>
      </c>
    </row>
    <row r="901" spans="4:7" x14ac:dyDescent="0.35">
      <c r="D901" s="1">
        <v>45461</v>
      </c>
      <c r="E901">
        <v>42</v>
      </c>
      <c r="F901">
        <v>40.29</v>
      </c>
      <c r="G901">
        <v>182.67</v>
      </c>
    </row>
    <row r="902" spans="4:7" x14ac:dyDescent="0.35">
      <c r="D902" s="1">
        <v>45462</v>
      </c>
      <c r="E902">
        <v>41</v>
      </c>
      <c r="F902">
        <v>38.21</v>
      </c>
      <c r="G902">
        <v>194.59</v>
      </c>
    </row>
    <row r="903" spans="4:7" x14ac:dyDescent="0.35">
      <c r="D903" s="1">
        <v>45463</v>
      </c>
      <c r="E903">
        <v>46</v>
      </c>
      <c r="F903">
        <v>43.8</v>
      </c>
      <c r="G903">
        <v>206.54</v>
      </c>
    </row>
    <row r="904" spans="4:7" x14ac:dyDescent="0.35">
      <c r="D904" s="1">
        <v>45464</v>
      </c>
      <c r="E904">
        <v>45</v>
      </c>
      <c r="F904">
        <v>49.48</v>
      </c>
      <c r="G904">
        <v>150.01</v>
      </c>
    </row>
    <row r="905" spans="4:7" x14ac:dyDescent="0.35">
      <c r="D905" s="1">
        <v>45465</v>
      </c>
      <c r="E905">
        <v>49</v>
      </c>
      <c r="F905">
        <v>37.15</v>
      </c>
      <c r="G905">
        <v>193.53</v>
      </c>
    </row>
    <row r="906" spans="4:7" x14ac:dyDescent="0.35">
      <c r="D906" s="1">
        <v>45466</v>
      </c>
      <c r="E906">
        <v>44</v>
      </c>
      <c r="F906">
        <v>37.369999999999997</v>
      </c>
      <c r="G906">
        <v>218.91</v>
      </c>
    </row>
    <row r="907" spans="4:7" x14ac:dyDescent="0.35">
      <c r="D907" s="1">
        <v>45467</v>
      </c>
      <c r="E907">
        <v>49</v>
      </c>
      <c r="F907">
        <v>38.270000000000003</v>
      </c>
      <c r="G907">
        <v>161.52000000000001</v>
      </c>
    </row>
    <row r="908" spans="4:7" x14ac:dyDescent="0.35">
      <c r="D908" s="1">
        <v>45468</v>
      </c>
      <c r="E908">
        <v>52</v>
      </c>
      <c r="F908">
        <v>36.119999999999997</v>
      </c>
      <c r="G908">
        <v>174.82</v>
      </c>
    </row>
    <row r="909" spans="4:7" x14ac:dyDescent="0.35">
      <c r="D909" s="1">
        <v>45469</v>
      </c>
      <c r="E909">
        <v>47</v>
      </c>
      <c r="F909">
        <v>34.450000000000003</v>
      </c>
      <c r="G909">
        <v>143.03</v>
      </c>
    </row>
    <row r="910" spans="4:7" x14ac:dyDescent="0.35">
      <c r="D910" s="1">
        <v>45470</v>
      </c>
      <c r="E910">
        <v>50</v>
      </c>
      <c r="F910">
        <v>39.36</v>
      </c>
      <c r="G910">
        <v>141.34</v>
      </c>
    </row>
    <row r="911" spans="4:7" x14ac:dyDescent="0.35">
      <c r="D911" s="1">
        <v>45471</v>
      </c>
      <c r="E911">
        <v>44</v>
      </c>
      <c r="F911">
        <v>39.86</v>
      </c>
      <c r="G911">
        <v>137.91999999999999</v>
      </c>
    </row>
    <row r="912" spans="4:7" x14ac:dyDescent="0.35">
      <c r="D912" s="1">
        <v>45472</v>
      </c>
      <c r="E912">
        <v>50</v>
      </c>
      <c r="F912">
        <v>53.13</v>
      </c>
      <c r="G912">
        <v>172.56</v>
      </c>
    </row>
    <row r="913" spans="4:7" x14ac:dyDescent="0.35">
      <c r="D913" s="1">
        <v>45473</v>
      </c>
      <c r="E913">
        <v>45</v>
      </c>
      <c r="F913">
        <v>48.84</v>
      </c>
      <c r="G913">
        <v>191.31</v>
      </c>
    </row>
    <row r="914" spans="4:7" x14ac:dyDescent="0.35">
      <c r="D914" s="1">
        <v>45474</v>
      </c>
      <c r="E914">
        <v>43</v>
      </c>
      <c r="F914">
        <v>40.549999999999997</v>
      </c>
      <c r="G914">
        <v>154.53</v>
      </c>
    </row>
    <row r="915" spans="4:7" x14ac:dyDescent="0.35">
      <c r="D915" s="1">
        <v>45475</v>
      </c>
      <c r="E915">
        <v>43</v>
      </c>
      <c r="F915">
        <v>43.75</v>
      </c>
      <c r="G915">
        <v>221.2</v>
      </c>
    </row>
    <row r="916" spans="4:7" x14ac:dyDescent="0.35">
      <c r="D916" s="1">
        <v>45476</v>
      </c>
      <c r="E916">
        <v>51</v>
      </c>
      <c r="F916">
        <v>39.979999999999997</v>
      </c>
      <c r="G916">
        <v>153.94999999999999</v>
      </c>
    </row>
    <row r="917" spans="4:7" x14ac:dyDescent="0.35">
      <c r="D917" s="1">
        <v>45477</v>
      </c>
      <c r="E917">
        <v>50</v>
      </c>
      <c r="F917">
        <v>45.34</v>
      </c>
      <c r="G917">
        <v>232.57</v>
      </c>
    </row>
    <row r="918" spans="4:7" x14ac:dyDescent="0.35">
      <c r="D918" s="1">
        <v>45478</v>
      </c>
      <c r="E918">
        <v>51</v>
      </c>
      <c r="F918">
        <v>47.76</v>
      </c>
      <c r="G918">
        <v>190.86</v>
      </c>
    </row>
    <row r="919" spans="4:7" x14ac:dyDescent="0.35">
      <c r="D919" s="1">
        <v>45479</v>
      </c>
      <c r="E919">
        <v>51</v>
      </c>
      <c r="F919">
        <v>41.14</v>
      </c>
      <c r="G919">
        <v>215.13</v>
      </c>
    </row>
    <row r="920" spans="4:7" x14ac:dyDescent="0.35">
      <c r="D920" s="1">
        <v>45480</v>
      </c>
      <c r="E920">
        <v>51</v>
      </c>
      <c r="F920">
        <v>49.19</v>
      </c>
      <c r="G920">
        <v>219.66</v>
      </c>
    </row>
    <row r="921" spans="4:7" x14ac:dyDescent="0.35">
      <c r="D921" s="1">
        <v>45481</v>
      </c>
      <c r="E921">
        <v>48</v>
      </c>
      <c r="F921">
        <v>48.71</v>
      </c>
      <c r="G921">
        <v>192.5</v>
      </c>
    </row>
    <row r="922" spans="4:7" x14ac:dyDescent="0.35">
      <c r="D922" s="1">
        <v>45482</v>
      </c>
      <c r="E922">
        <v>49</v>
      </c>
      <c r="F922">
        <v>36.79</v>
      </c>
      <c r="G922">
        <v>194.06</v>
      </c>
    </row>
    <row r="923" spans="4:7" x14ac:dyDescent="0.35">
      <c r="D923" s="1">
        <v>45483</v>
      </c>
      <c r="E923">
        <v>46</v>
      </c>
      <c r="F923">
        <v>51.72</v>
      </c>
      <c r="G923">
        <v>184.52</v>
      </c>
    </row>
    <row r="924" spans="4:7" x14ac:dyDescent="0.35">
      <c r="D924" s="1">
        <v>45484</v>
      </c>
      <c r="E924">
        <v>44</v>
      </c>
      <c r="F924">
        <v>51.06</v>
      </c>
      <c r="G924">
        <v>167.17</v>
      </c>
    </row>
    <row r="925" spans="4:7" x14ac:dyDescent="0.35">
      <c r="D925" s="1">
        <v>45485</v>
      </c>
      <c r="E925">
        <v>46</v>
      </c>
      <c r="F925">
        <v>39.07</v>
      </c>
      <c r="G925">
        <v>219.18</v>
      </c>
    </row>
    <row r="926" spans="4:7" x14ac:dyDescent="0.35">
      <c r="D926" s="1">
        <v>45486</v>
      </c>
      <c r="E926">
        <v>51</v>
      </c>
      <c r="F926">
        <v>47.7</v>
      </c>
      <c r="G926">
        <v>224.11</v>
      </c>
    </row>
    <row r="927" spans="4:7" x14ac:dyDescent="0.35">
      <c r="D927" s="1">
        <v>45487</v>
      </c>
      <c r="E927">
        <v>54</v>
      </c>
      <c r="F927">
        <v>49.87</v>
      </c>
      <c r="G927">
        <v>168.28</v>
      </c>
    </row>
    <row r="928" spans="4:7" x14ac:dyDescent="0.35">
      <c r="D928" s="1">
        <v>45488</v>
      </c>
      <c r="E928">
        <v>43</v>
      </c>
      <c r="F928">
        <v>47.41</v>
      </c>
      <c r="G928">
        <v>145.96</v>
      </c>
    </row>
    <row r="929" spans="4:7" x14ac:dyDescent="0.35">
      <c r="D929" s="1">
        <v>45489</v>
      </c>
      <c r="E929">
        <v>49</v>
      </c>
      <c r="F929">
        <v>40.950000000000003</v>
      </c>
      <c r="G929">
        <v>224.85</v>
      </c>
    </row>
    <row r="930" spans="4:7" x14ac:dyDescent="0.35">
      <c r="D930" s="1">
        <v>45490</v>
      </c>
      <c r="E930">
        <v>54</v>
      </c>
      <c r="F930">
        <v>33.270000000000003</v>
      </c>
      <c r="G930">
        <v>210</v>
      </c>
    </row>
    <row r="931" spans="4:7" x14ac:dyDescent="0.35">
      <c r="D931" s="1">
        <v>45491</v>
      </c>
      <c r="E931">
        <v>51</v>
      </c>
      <c r="F931">
        <v>52.15</v>
      </c>
      <c r="G931">
        <v>144.31</v>
      </c>
    </row>
    <row r="932" spans="4:7" x14ac:dyDescent="0.35">
      <c r="D932" s="1">
        <v>45492</v>
      </c>
      <c r="E932">
        <v>50</v>
      </c>
      <c r="F932">
        <v>35.1</v>
      </c>
      <c r="G932">
        <v>158.57</v>
      </c>
    </row>
    <row r="933" spans="4:7" x14ac:dyDescent="0.35">
      <c r="D933" s="1">
        <v>45493</v>
      </c>
      <c r="E933">
        <v>47</v>
      </c>
      <c r="F933">
        <v>40.82</v>
      </c>
      <c r="G933">
        <v>139.69</v>
      </c>
    </row>
    <row r="934" spans="4:7" x14ac:dyDescent="0.35">
      <c r="D934" s="1">
        <v>45494</v>
      </c>
      <c r="E934">
        <v>44</v>
      </c>
      <c r="F934">
        <v>34.44</v>
      </c>
      <c r="G934">
        <v>173.85</v>
      </c>
    </row>
    <row r="935" spans="4:7" x14ac:dyDescent="0.35">
      <c r="D935" s="1">
        <v>45495</v>
      </c>
      <c r="E935">
        <v>47</v>
      </c>
      <c r="F935">
        <v>41.42</v>
      </c>
      <c r="G935">
        <v>203.84</v>
      </c>
    </row>
    <row r="936" spans="4:7" x14ac:dyDescent="0.35">
      <c r="D936" s="1">
        <v>45496</v>
      </c>
      <c r="E936">
        <v>52</v>
      </c>
      <c r="F936">
        <v>50.09</v>
      </c>
      <c r="G936">
        <v>193.86</v>
      </c>
    </row>
    <row r="937" spans="4:7" x14ac:dyDescent="0.35">
      <c r="D937" s="1">
        <v>45497</v>
      </c>
      <c r="E937">
        <v>48</v>
      </c>
      <c r="F937">
        <v>40.26</v>
      </c>
      <c r="G937">
        <v>185.81</v>
      </c>
    </row>
    <row r="938" spans="4:7" x14ac:dyDescent="0.35">
      <c r="D938" s="1">
        <v>45498</v>
      </c>
      <c r="E938">
        <v>47</v>
      </c>
      <c r="F938">
        <v>44.96</v>
      </c>
      <c r="G938">
        <v>230.38</v>
      </c>
    </row>
    <row r="939" spans="4:7" x14ac:dyDescent="0.35">
      <c r="D939" s="1">
        <v>45499</v>
      </c>
      <c r="E939">
        <v>53</v>
      </c>
      <c r="F939">
        <v>47.51</v>
      </c>
      <c r="G939">
        <v>216.72</v>
      </c>
    </row>
    <row r="940" spans="4:7" x14ac:dyDescent="0.35">
      <c r="D940" s="1">
        <v>45500</v>
      </c>
      <c r="E940">
        <v>46</v>
      </c>
      <c r="F940">
        <v>47.95</v>
      </c>
      <c r="G940">
        <v>161.28</v>
      </c>
    </row>
    <row r="941" spans="4:7" x14ac:dyDescent="0.35">
      <c r="D941" s="1">
        <v>45501</v>
      </c>
      <c r="E941">
        <v>43</v>
      </c>
      <c r="F941">
        <v>47.51</v>
      </c>
      <c r="G941">
        <v>172.23</v>
      </c>
    </row>
    <row r="942" spans="4:7" x14ac:dyDescent="0.35">
      <c r="D942" s="1">
        <v>45502</v>
      </c>
      <c r="E942">
        <v>46</v>
      </c>
      <c r="F942">
        <v>34.729999999999997</v>
      </c>
      <c r="G942">
        <v>197.78</v>
      </c>
    </row>
    <row r="943" spans="4:7" x14ac:dyDescent="0.35">
      <c r="D943" s="1">
        <v>45503</v>
      </c>
      <c r="E943">
        <v>48</v>
      </c>
      <c r="F943">
        <v>46.3</v>
      </c>
      <c r="G943">
        <v>205.12</v>
      </c>
    </row>
    <row r="944" spans="4:7" x14ac:dyDescent="0.35">
      <c r="D944" s="1">
        <v>45504</v>
      </c>
      <c r="E944">
        <v>51</v>
      </c>
      <c r="F944">
        <v>46.09</v>
      </c>
      <c r="G944">
        <v>160.56</v>
      </c>
    </row>
    <row r="945" spans="4:7" x14ac:dyDescent="0.35">
      <c r="D945" s="1">
        <v>45505</v>
      </c>
      <c r="E945">
        <v>49</v>
      </c>
      <c r="F945">
        <v>33.9</v>
      </c>
      <c r="G945">
        <v>166.79</v>
      </c>
    </row>
    <row r="946" spans="4:7" x14ac:dyDescent="0.35">
      <c r="D946" s="1">
        <v>45506</v>
      </c>
      <c r="E946">
        <v>54</v>
      </c>
      <c r="F946">
        <v>51.47</v>
      </c>
      <c r="G946">
        <v>195.43</v>
      </c>
    </row>
    <row r="947" spans="4:7" x14ac:dyDescent="0.35">
      <c r="D947" s="1">
        <v>45507</v>
      </c>
      <c r="E947">
        <v>49</v>
      </c>
      <c r="F947">
        <v>49.75</v>
      </c>
      <c r="G947">
        <v>189.14</v>
      </c>
    </row>
    <row r="948" spans="4:7" x14ac:dyDescent="0.35">
      <c r="D948" s="1">
        <v>45508</v>
      </c>
      <c r="E948">
        <v>55</v>
      </c>
      <c r="F948">
        <v>52.66</v>
      </c>
      <c r="G948">
        <v>141.97</v>
      </c>
    </row>
    <row r="949" spans="4:7" x14ac:dyDescent="0.35">
      <c r="D949" s="1">
        <v>45509</v>
      </c>
      <c r="E949">
        <v>50</v>
      </c>
      <c r="F949">
        <v>33.200000000000003</v>
      </c>
      <c r="G949">
        <v>155.38999999999999</v>
      </c>
    </row>
    <row r="950" spans="4:7" x14ac:dyDescent="0.35">
      <c r="D950" s="1">
        <v>45510</v>
      </c>
      <c r="E950">
        <v>52</v>
      </c>
      <c r="F950">
        <v>42.8</v>
      </c>
      <c r="G950">
        <v>234.44</v>
      </c>
    </row>
    <row r="951" spans="4:7" x14ac:dyDescent="0.35">
      <c r="D951" s="1">
        <v>45511</v>
      </c>
      <c r="E951">
        <v>51</v>
      </c>
      <c r="F951">
        <v>38.01</v>
      </c>
      <c r="G951">
        <v>188.79</v>
      </c>
    </row>
    <row r="952" spans="4:7" x14ac:dyDescent="0.35">
      <c r="D952" s="1">
        <v>45512</v>
      </c>
      <c r="E952">
        <v>50</v>
      </c>
      <c r="F952">
        <v>44.46</v>
      </c>
      <c r="G952">
        <v>201.51</v>
      </c>
    </row>
    <row r="953" spans="4:7" x14ac:dyDescent="0.35">
      <c r="D953" s="1">
        <v>45513</v>
      </c>
      <c r="E953">
        <v>49</v>
      </c>
      <c r="F953">
        <v>33.85</v>
      </c>
      <c r="G953">
        <v>200.16</v>
      </c>
    </row>
    <row r="954" spans="4:7" x14ac:dyDescent="0.35">
      <c r="D954" s="1">
        <v>45514</v>
      </c>
      <c r="E954">
        <v>49</v>
      </c>
      <c r="F954">
        <v>40.53</v>
      </c>
      <c r="G954">
        <v>233.72</v>
      </c>
    </row>
    <row r="955" spans="4:7" x14ac:dyDescent="0.35">
      <c r="D955" s="1">
        <v>45515</v>
      </c>
      <c r="E955">
        <v>54</v>
      </c>
      <c r="F955">
        <v>44.82</v>
      </c>
      <c r="G955">
        <v>155.5</v>
      </c>
    </row>
    <row r="956" spans="4:7" x14ac:dyDescent="0.35">
      <c r="D956" s="1">
        <v>45516</v>
      </c>
      <c r="E956">
        <v>54</v>
      </c>
      <c r="F956">
        <v>34.68</v>
      </c>
      <c r="G956">
        <v>148.13999999999999</v>
      </c>
    </row>
    <row r="957" spans="4:7" x14ac:dyDescent="0.35">
      <c r="D957" s="1">
        <v>45517</v>
      </c>
      <c r="E957">
        <v>50</v>
      </c>
      <c r="F957">
        <v>49.93</v>
      </c>
      <c r="G957">
        <v>139.27000000000001</v>
      </c>
    </row>
    <row r="958" spans="4:7" x14ac:dyDescent="0.35">
      <c r="D958" s="1">
        <v>45518</v>
      </c>
      <c r="E958">
        <v>52</v>
      </c>
      <c r="F958">
        <v>37.25</v>
      </c>
      <c r="G958">
        <v>231.33</v>
      </c>
    </row>
    <row r="959" spans="4:7" x14ac:dyDescent="0.35">
      <c r="D959" s="1">
        <v>45519</v>
      </c>
      <c r="E959">
        <v>52</v>
      </c>
      <c r="F959">
        <v>47.27</v>
      </c>
      <c r="G959">
        <v>140.62</v>
      </c>
    </row>
    <row r="960" spans="4:7" x14ac:dyDescent="0.35">
      <c r="D960" s="1">
        <v>45520</v>
      </c>
      <c r="E960">
        <v>48</v>
      </c>
      <c r="F960">
        <v>43.06</v>
      </c>
      <c r="G960">
        <v>137.77000000000001</v>
      </c>
    </row>
    <row r="961" spans="4:7" x14ac:dyDescent="0.35">
      <c r="D961" s="1">
        <v>45521</v>
      </c>
      <c r="E961">
        <v>50</v>
      </c>
      <c r="F961">
        <v>48.95</v>
      </c>
      <c r="G961">
        <v>191.47</v>
      </c>
    </row>
    <row r="962" spans="4:7" x14ac:dyDescent="0.35">
      <c r="D962" s="1">
        <v>45522</v>
      </c>
      <c r="E962">
        <v>51</v>
      </c>
      <c r="F962">
        <v>45.12</v>
      </c>
      <c r="G962">
        <v>139.02000000000001</v>
      </c>
    </row>
    <row r="963" spans="4:7" x14ac:dyDescent="0.35">
      <c r="D963" s="1">
        <v>45523</v>
      </c>
      <c r="E963">
        <v>52</v>
      </c>
      <c r="F963">
        <v>49.81</v>
      </c>
      <c r="G963">
        <v>140.94</v>
      </c>
    </row>
    <row r="964" spans="4:7" x14ac:dyDescent="0.35">
      <c r="D964" s="1">
        <v>45524</v>
      </c>
      <c r="E964">
        <v>47</v>
      </c>
      <c r="F964">
        <v>33.369999999999997</v>
      </c>
      <c r="G964">
        <v>160.81</v>
      </c>
    </row>
    <row r="965" spans="4:7" x14ac:dyDescent="0.35">
      <c r="D965" s="1">
        <v>45525</v>
      </c>
      <c r="E965">
        <v>45</v>
      </c>
      <c r="F965">
        <v>49.34</v>
      </c>
      <c r="G965">
        <v>150.38999999999999</v>
      </c>
    </row>
    <row r="966" spans="4:7" x14ac:dyDescent="0.35">
      <c r="D966" s="1">
        <v>45526</v>
      </c>
      <c r="E966">
        <v>44</v>
      </c>
      <c r="F966">
        <v>44.9</v>
      </c>
      <c r="G966">
        <v>200.58</v>
      </c>
    </row>
    <row r="967" spans="4:7" x14ac:dyDescent="0.35">
      <c r="D967" s="1">
        <v>45527</v>
      </c>
      <c r="E967">
        <v>46</v>
      </c>
      <c r="F967">
        <v>37.9</v>
      </c>
      <c r="G967">
        <v>216.25</v>
      </c>
    </row>
    <row r="968" spans="4:7" x14ac:dyDescent="0.35">
      <c r="D968" s="1">
        <v>45528</v>
      </c>
      <c r="E968">
        <v>48</v>
      </c>
      <c r="F968">
        <v>42.44</v>
      </c>
      <c r="G968">
        <v>198.05</v>
      </c>
    </row>
    <row r="969" spans="4:7" x14ac:dyDescent="0.35">
      <c r="D969" s="1">
        <v>45529</v>
      </c>
      <c r="E969">
        <v>47</v>
      </c>
      <c r="F969">
        <v>42.37</v>
      </c>
      <c r="G969">
        <v>148.43</v>
      </c>
    </row>
    <row r="970" spans="4:7" x14ac:dyDescent="0.35">
      <c r="D970" s="1">
        <v>45530</v>
      </c>
      <c r="E970">
        <v>50</v>
      </c>
      <c r="F970">
        <v>41.17</v>
      </c>
      <c r="G970">
        <v>153.07</v>
      </c>
    </row>
    <row r="971" spans="4:7" x14ac:dyDescent="0.35">
      <c r="D971" s="1">
        <v>45531</v>
      </c>
      <c r="E971">
        <v>48</v>
      </c>
      <c r="F971">
        <v>32.92</v>
      </c>
      <c r="G971">
        <v>158.77000000000001</v>
      </c>
    </row>
    <row r="972" spans="4:7" x14ac:dyDescent="0.35">
      <c r="D972" s="1">
        <v>45532</v>
      </c>
      <c r="E972">
        <v>50</v>
      </c>
      <c r="F972">
        <v>41.4</v>
      </c>
      <c r="G972">
        <v>162.96</v>
      </c>
    </row>
    <row r="973" spans="4:7" x14ac:dyDescent="0.35">
      <c r="D973" s="1">
        <v>45533</v>
      </c>
      <c r="E973">
        <v>51</v>
      </c>
      <c r="F973">
        <v>34.54</v>
      </c>
      <c r="G973">
        <v>181.63</v>
      </c>
    </row>
    <row r="974" spans="4:7" x14ac:dyDescent="0.35">
      <c r="D974" s="1">
        <v>45534</v>
      </c>
      <c r="E974">
        <v>55</v>
      </c>
      <c r="F974">
        <v>32.67</v>
      </c>
      <c r="G974">
        <v>159.61000000000001</v>
      </c>
    </row>
    <row r="975" spans="4:7" x14ac:dyDescent="0.35">
      <c r="D975" s="1">
        <v>45535</v>
      </c>
      <c r="E975">
        <v>50</v>
      </c>
      <c r="F975">
        <v>47.69</v>
      </c>
      <c r="G975">
        <v>208.14</v>
      </c>
    </row>
    <row r="976" spans="4:7" x14ac:dyDescent="0.35">
      <c r="D976" s="1">
        <v>45536</v>
      </c>
      <c r="E976">
        <v>54</v>
      </c>
      <c r="F976">
        <v>42.91</v>
      </c>
      <c r="G976">
        <v>147.49</v>
      </c>
    </row>
    <row r="977" spans="4:7" x14ac:dyDescent="0.35">
      <c r="D977" s="1">
        <v>45537</v>
      </c>
      <c r="E977">
        <v>52</v>
      </c>
      <c r="F977">
        <v>37.22</v>
      </c>
      <c r="G977">
        <v>202.9</v>
      </c>
    </row>
    <row r="978" spans="4:7" x14ac:dyDescent="0.35">
      <c r="D978" s="1">
        <v>45538</v>
      </c>
      <c r="E978">
        <v>49</v>
      </c>
      <c r="F978">
        <v>47.9</v>
      </c>
      <c r="G978">
        <v>170.4</v>
      </c>
    </row>
    <row r="979" spans="4:7" x14ac:dyDescent="0.35">
      <c r="D979" s="1">
        <v>45539</v>
      </c>
      <c r="E979">
        <v>54</v>
      </c>
      <c r="F979">
        <v>33.42</v>
      </c>
      <c r="G979">
        <v>224.86</v>
      </c>
    </row>
    <row r="980" spans="4:7" x14ac:dyDescent="0.35">
      <c r="D980" s="1">
        <v>45540</v>
      </c>
      <c r="E980">
        <v>51</v>
      </c>
      <c r="F980">
        <v>33.24</v>
      </c>
      <c r="G980">
        <v>227.02</v>
      </c>
    </row>
    <row r="981" spans="4:7" x14ac:dyDescent="0.35">
      <c r="D981" s="1">
        <v>45541</v>
      </c>
      <c r="E981">
        <v>45</v>
      </c>
      <c r="F981">
        <v>40.270000000000003</v>
      </c>
      <c r="G981">
        <v>191.75</v>
      </c>
    </row>
    <row r="982" spans="4:7" x14ac:dyDescent="0.35">
      <c r="D982" s="1">
        <v>45542</v>
      </c>
      <c r="E982">
        <v>48</v>
      </c>
      <c r="F982">
        <v>51</v>
      </c>
      <c r="G982">
        <v>234.3</v>
      </c>
    </row>
    <row r="983" spans="4:7" x14ac:dyDescent="0.35">
      <c r="D983" s="1">
        <v>45543</v>
      </c>
      <c r="E983">
        <v>54</v>
      </c>
      <c r="F983">
        <v>35.869999999999997</v>
      </c>
      <c r="G983">
        <v>220.82</v>
      </c>
    </row>
    <row r="984" spans="4:7" x14ac:dyDescent="0.35">
      <c r="D984" s="1">
        <v>45544</v>
      </c>
      <c r="E984">
        <v>53</v>
      </c>
      <c r="F984">
        <v>38.44</v>
      </c>
      <c r="G984">
        <v>176.27</v>
      </c>
    </row>
    <row r="985" spans="4:7" x14ac:dyDescent="0.35">
      <c r="D985" s="1">
        <v>45545</v>
      </c>
      <c r="E985">
        <v>48</v>
      </c>
      <c r="F985">
        <v>34.65</v>
      </c>
      <c r="G985">
        <v>223.11</v>
      </c>
    </row>
    <row r="986" spans="4:7" x14ac:dyDescent="0.35">
      <c r="D986" s="1">
        <v>45546</v>
      </c>
      <c r="E986">
        <v>50</v>
      </c>
      <c r="F986">
        <v>47.55</v>
      </c>
      <c r="G986">
        <v>234.64</v>
      </c>
    </row>
    <row r="987" spans="4:7" x14ac:dyDescent="0.35">
      <c r="D987" s="1">
        <v>45547</v>
      </c>
      <c r="E987">
        <v>50</v>
      </c>
      <c r="F987">
        <v>37.58</v>
      </c>
      <c r="G987">
        <v>147.76</v>
      </c>
    </row>
    <row r="988" spans="4:7" x14ac:dyDescent="0.35">
      <c r="D988" s="1">
        <v>45548</v>
      </c>
      <c r="E988">
        <v>54</v>
      </c>
      <c r="F988">
        <v>41.27</v>
      </c>
      <c r="G988">
        <v>175.87</v>
      </c>
    </row>
    <row r="989" spans="4:7" x14ac:dyDescent="0.35">
      <c r="D989" s="1">
        <v>45549</v>
      </c>
      <c r="E989">
        <v>47</v>
      </c>
      <c r="F989">
        <v>41.06</v>
      </c>
      <c r="G989">
        <v>210.48</v>
      </c>
    </row>
    <row r="990" spans="4:7" x14ac:dyDescent="0.35">
      <c r="D990" s="1">
        <v>45550</v>
      </c>
      <c r="E990">
        <v>46</v>
      </c>
      <c r="F990">
        <v>48.82</v>
      </c>
      <c r="G990">
        <v>153.5</v>
      </c>
    </row>
    <row r="991" spans="4:7" x14ac:dyDescent="0.35">
      <c r="D991" s="1">
        <v>45551</v>
      </c>
      <c r="E991">
        <v>51</v>
      </c>
      <c r="F991">
        <v>37.32</v>
      </c>
      <c r="G991">
        <v>146.80000000000001</v>
      </c>
    </row>
    <row r="992" spans="4:7" x14ac:dyDescent="0.35">
      <c r="D992" s="1">
        <v>45552</v>
      </c>
      <c r="E992">
        <v>56</v>
      </c>
      <c r="F992">
        <v>41.51</v>
      </c>
      <c r="G992">
        <v>160.18</v>
      </c>
    </row>
    <row r="993" spans="4:7" x14ac:dyDescent="0.35">
      <c r="D993" s="1">
        <v>45553</v>
      </c>
      <c r="E993">
        <v>50</v>
      </c>
      <c r="F993">
        <v>48.74</v>
      </c>
      <c r="G993">
        <v>142.61000000000001</v>
      </c>
    </row>
    <row r="994" spans="4:7" x14ac:dyDescent="0.35">
      <c r="D994" s="1">
        <v>45554</v>
      </c>
      <c r="E994">
        <v>53</v>
      </c>
      <c r="F994">
        <v>50.61</v>
      </c>
      <c r="G994">
        <v>205.62</v>
      </c>
    </row>
    <row r="995" spans="4:7" x14ac:dyDescent="0.35">
      <c r="D995" s="1">
        <v>45555</v>
      </c>
      <c r="E995">
        <v>45</v>
      </c>
      <c r="F995">
        <v>40.46</v>
      </c>
      <c r="G995">
        <v>135.87</v>
      </c>
    </row>
    <row r="996" spans="4:7" x14ac:dyDescent="0.35">
      <c r="D996" s="1">
        <v>45556</v>
      </c>
      <c r="E996">
        <v>56</v>
      </c>
      <c r="F996">
        <v>41.14</v>
      </c>
      <c r="G996">
        <v>181.62</v>
      </c>
    </row>
    <row r="997" spans="4:7" x14ac:dyDescent="0.35">
      <c r="D997" s="1">
        <v>45557</v>
      </c>
      <c r="E997">
        <v>45</v>
      </c>
      <c r="F997">
        <v>50.37</v>
      </c>
      <c r="G997">
        <v>209.72</v>
      </c>
    </row>
    <row r="998" spans="4:7" x14ac:dyDescent="0.35">
      <c r="D998" s="1">
        <v>45558</v>
      </c>
      <c r="E998">
        <v>53</v>
      </c>
      <c r="F998">
        <v>47.31</v>
      </c>
      <c r="G998">
        <v>205.06</v>
      </c>
    </row>
    <row r="999" spans="4:7" x14ac:dyDescent="0.35">
      <c r="D999" s="1">
        <v>45559</v>
      </c>
      <c r="E999">
        <v>56</v>
      </c>
      <c r="F999">
        <v>49.84</v>
      </c>
      <c r="G999">
        <v>164.67</v>
      </c>
    </row>
    <row r="1000" spans="4:7" x14ac:dyDescent="0.35">
      <c r="D1000" s="1">
        <v>45560</v>
      </c>
      <c r="E1000">
        <v>48</v>
      </c>
      <c r="F1000">
        <v>47.67</v>
      </c>
      <c r="G1000">
        <v>139.51</v>
      </c>
    </row>
    <row r="1001" spans="4:7" x14ac:dyDescent="0.35">
      <c r="D1001" s="1">
        <v>45561</v>
      </c>
      <c r="E1001">
        <v>46</v>
      </c>
      <c r="F1001">
        <v>51.87</v>
      </c>
      <c r="G1001">
        <v>153.94</v>
      </c>
    </row>
    <row r="1002" spans="4:7" x14ac:dyDescent="0.35">
      <c r="D1002" s="1">
        <v>45562</v>
      </c>
      <c r="E1002">
        <v>54</v>
      </c>
      <c r="F1002">
        <v>39.479999999999997</v>
      </c>
      <c r="G1002">
        <v>161.52000000000001</v>
      </c>
    </row>
    <row r="1003" spans="4:7" x14ac:dyDescent="0.35">
      <c r="D1003" s="1">
        <v>45563</v>
      </c>
      <c r="E1003">
        <v>46</v>
      </c>
      <c r="F1003">
        <v>47.63</v>
      </c>
      <c r="G1003">
        <v>226.72</v>
      </c>
    </row>
    <row r="1004" spans="4:7" x14ac:dyDescent="0.35">
      <c r="D1004" s="1">
        <v>45564</v>
      </c>
      <c r="E1004">
        <v>54</v>
      </c>
      <c r="F1004">
        <v>38.71</v>
      </c>
      <c r="G1004">
        <v>148.4</v>
      </c>
    </row>
    <row r="1005" spans="4:7" x14ac:dyDescent="0.35">
      <c r="D1005" s="1">
        <v>45565</v>
      </c>
      <c r="E1005">
        <v>50</v>
      </c>
      <c r="F1005">
        <v>47.56</v>
      </c>
      <c r="G1005">
        <v>206.47</v>
      </c>
    </row>
    <row r="1006" spans="4:7" x14ac:dyDescent="0.35">
      <c r="D1006" s="1">
        <v>45566</v>
      </c>
      <c r="E1006">
        <v>54</v>
      </c>
      <c r="F1006">
        <v>34.880000000000003</v>
      </c>
      <c r="G1006">
        <v>176.2</v>
      </c>
    </row>
    <row r="1007" spans="4:7" x14ac:dyDescent="0.35">
      <c r="D1007" s="1">
        <v>45567</v>
      </c>
      <c r="E1007">
        <v>45</v>
      </c>
      <c r="F1007">
        <v>44.14</v>
      </c>
      <c r="G1007">
        <v>166.55</v>
      </c>
    </row>
    <row r="1008" spans="4:7" x14ac:dyDescent="0.35">
      <c r="D1008" s="1">
        <v>45568</v>
      </c>
      <c r="E1008">
        <v>46</v>
      </c>
      <c r="F1008">
        <v>44.38</v>
      </c>
      <c r="G1008">
        <v>214.17</v>
      </c>
    </row>
    <row r="1009" spans="4:7" x14ac:dyDescent="0.35">
      <c r="D1009" s="1">
        <v>45569</v>
      </c>
      <c r="E1009">
        <v>52</v>
      </c>
      <c r="F1009">
        <v>38.770000000000003</v>
      </c>
      <c r="G1009">
        <v>220.99</v>
      </c>
    </row>
    <row r="1010" spans="4:7" x14ac:dyDescent="0.35">
      <c r="D1010" s="1">
        <v>45570</v>
      </c>
      <c r="E1010">
        <v>52</v>
      </c>
      <c r="F1010">
        <v>50.47</v>
      </c>
      <c r="G1010">
        <v>233.12</v>
      </c>
    </row>
    <row r="1011" spans="4:7" x14ac:dyDescent="0.35">
      <c r="D1011" s="1">
        <v>45571</v>
      </c>
      <c r="E1011">
        <v>51</v>
      </c>
      <c r="F1011">
        <v>49.67</v>
      </c>
      <c r="G1011">
        <v>179.13</v>
      </c>
    </row>
    <row r="1012" spans="4:7" x14ac:dyDescent="0.35">
      <c r="D1012" s="1">
        <v>45572</v>
      </c>
      <c r="E1012">
        <v>48</v>
      </c>
      <c r="F1012">
        <v>51.36</v>
      </c>
      <c r="G1012">
        <v>187.43</v>
      </c>
    </row>
    <row r="1013" spans="4:7" x14ac:dyDescent="0.35">
      <c r="D1013" s="1">
        <v>45573</v>
      </c>
      <c r="E1013">
        <v>54</v>
      </c>
      <c r="F1013">
        <v>32.840000000000003</v>
      </c>
      <c r="G1013">
        <v>229.24</v>
      </c>
    </row>
    <row r="1014" spans="4:7" x14ac:dyDescent="0.35">
      <c r="D1014" s="1">
        <v>45574</v>
      </c>
      <c r="E1014">
        <v>51</v>
      </c>
      <c r="F1014">
        <v>42.77</v>
      </c>
      <c r="G1014">
        <v>152.15</v>
      </c>
    </row>
    <row r="1015" spans="4:7" x14ac:dyDescent="0.35">
      <c r="D1015" s="1">
        <v>45575</v>
      </c>
      <c r="E1015">
        <v>55</v>
      </c>
      <c r="F1015">
        <v>51.88</v>
      </c>
      <c r="G1015">
        <v>175.45</v>
      </c>
    </row>
    <row r="1016" spans="4:7" x14ac:dyDescent="0.35">
      <c r="D1016" s="1">
        <v>45576</v>
      </c>
      <c r="E1016">
        <v>51</v>
      </c>
      <c r="F1016">
        <v>37.17</v>
      </c>
      <c r="G1016">
        <v>200.26</v>
      </c>
    </row>
    <row r="1017" spans="4:7" x14ac:dyDescent="0.35">
      <c r="D1017" s="1">
        <v>45577</v>
      </c>
      <c r="E1017">
        <v>52</v>
      </c>
      <c r="F1017">
        <v>37.659999999999997</v>
      </c>
      <c r="G1017">
        <v>146.31</v>
      </c>
    </row>
    <row r="1018" spans="4:7" x14ac:dyDescent="0.35">
      <c r="D1018" s="1">
        <v>45578</v>
      </c>
      <c r="E1018">
        <v>49</v>
      </c>
      <c r="F1018">
        <v>46.25</v>
      </c>
      <c r="G1018">
        <v>204.02</v>
      </c>
    </row>
    <row r="1019" spans="4:7" x14ac:dyDescent="0.35">
      <c r="D1019" s="1">
        <v>45579</v>
      </c>
      <c r="E1019">
        <v>50</v>
      </c>
      <c r="F1019">
        <v>32.770000000000003</v>
      </c>
      <c r="G1019">
        <v>155.51</v>
      </c>
    </row>
    <row r="1020" spans="4:7" x14ac:dyDescent="0.35">
      <c r="D1020" s="1">
        <v>45580</v>
      </c>
      <c r="E1020">
        <v>49</v>
      </c>
      <c r="F1020">
        <v>40.950000000000003</v>
      </c>
      <c r="G1020">
        <v>208.82</v>
      </c>
    </row>
    <row r="1021" spans="4:7" x14ac:dyDescent="0.35">
      <c r="D1021" s="1">
        <v>45581</v>
      </c>
      <c r="E1021">
        <v>50</v>
      </c>
      <c r="F1021">
        <v>36.64</v>
      </c>
      <c r="G1021">
        <v>189.45</v>
      </c>
    </row>
    <row r="1022" spans="4:7" x14ac:dyDescent="0.35">
      <c r="D1022" s="1">
        <v>45582</v>
      </c>
      <c r="E1022">
        <v>47</v>
      </c>
      <c r="F1022">
        <v>47.49</v>
      </c>
      <c r="G1022">
        <v>142.52000000000001</v>
      </c>
    </row>
    <row r="1023" spans="4:7" x14ac:dyDescent="0.35">
      <c r="D1023" s="1">
        <v>45583</v>
      </c>
      <c r="E1023">
        <v>49</v>
      </c>
      <c r="F1023">
        <v>40.5</v>
      </c>
      <c r="G1023">
        <v>140.41</v>
      </c>
    </row>
    <row r="1024" spans="4:7" x14ac:dyDescent="0.35">
      <c r="D1024" s="1">
        <v>45584</v>
      </c>
      <c r="E1024">
        <v>55</v>
      </c>
      <c r="F1024">
        <v>40.380000000000003</v>
      </c>
      <c r="G1024">
        <v>171.07</v>
      </c>
    </row>
    <row r="1025" spans="4:7" x14ac:dyDescent="0.35">
      <c r="D1025" s="1">
        <v>45585</v>
      </c>
      <c r="E1025">
        <v>55</v>
      </c>
      <c r="F1025">
        <v>37.79</v>
      </c>
      <c r="G1025">
        <v>184.59</v>
      </c>
    </row>
    <row r="1026" spans="4:7" x14ac:dyDescent="0.35">
      <c r="D1026" s="1">
        <v>45586</v>
      </c>
      <c r="E1026">
        <v>51</v>
      </c>
      <c r="F1026">
        <v>37.92</v>
      </c>
      <c r="G1026">
        <v>185.82</v>
      </c>
    </row>
    <row r="1027" spans="4:7" x14ac:dyDescent="0.35">
      <c r="D1027" s="1">
        <v>45587</v>
      </c>
      <c r="E1027">
        <v>51</v>
      </c>
      <c r="F1027">
        <v>36.619999999999997</v>
      </c>
      <c r="G1027">
        <v>160.32</v>
      </c>
    </row>
    <row r="1028" spans="4:7" x14ac:dyDescent="0.35">
      <c r="D1028" s="1">
        <v>45588</v>
      </c>
      <c r="E1028">
        <v>57</v>
      </c>
      <c r="F1028">
        <v>42.72</v>
      </c>
      <c r="G1028">
        <v>135.27000000000001</v>
      </c>
    </row>
    <row r="1029" spans="4:7" x14ac:dyDescent="0.35">
      <c r="D1029" s="1">
        <v>45589</v>
      </c>
      <c r="E1029">
        <v>52</v>
      </c>
      <c r="F1029">
        <v>46.2</v>
      </c>
      <c r="G1029">
        <v>180.77</v>
      </c>
    </row>
    <row r="1030" spans="4:7" x14ac:dyDescent="0.35">
      <c r="D1030" s="1">
        <v>45590</v>
      </c>
      <c r="E1030">
        <v>51</v>
      </c>
      <c r="F1030">
        <v>36.43</v>
      </c>
      <c r="G1030">
        <v>216.29</v>
      </c>
    </row>
    <row r="1031" spans="4:7" x14ac:dyDescent="0.35">
      <c r="D1031" s="1">
        <v>45591</v>
      </c>
      <c r="E1031">
        <v>48</v>
      </c>
      <c r="F1031">
        <v>35.229999999999997</v>
      </c>
      <c r="G1031">
        <v>226.18</v>
      </c>
    </row>
    <row r="1032" spans="4:7" x14ac:dyDescent="0.35">
      <c r="D1032" s="1">
        <v>45592</v>
      </c>
      <c r="E1032">
        <v>51</v>
      </c>
      <c r="F1032">
        <v>48.89</v>
      </c>
      <c r="G1032">
        <v>176.85</v>
      </c>
    </row>
    <row r="1033" spans="4:7" x14ac:dyDescent="0.35">
      <c r="D1033" s="1">
        <v>45593</v>
      </c>
      <c r="E1033">
        <v>53</v>
      </c>
      <c r="F1033">
        <v>46.55</v>
      </c>
      <c r="G1033">
        <v>140.94</v>
      </c>
    </row>
    <row r="1034" spans="4:7" x14ac:dyDescent="0.35">
      <c r="D1034" s="1">
        <v>45594</v>
      </c>
      <c r="E1034">
        <v>56</v>
      </c>
      <c r="F1034">
        <v>32.979999999999997</v>
      </c>
      <c r="G1034">
        <v>199.19</v>
      </c>
    </row>
    <row r="1035" spans="4:7" x14ac:dyDescent="0.35">
      <c r="D1035" s="1">
        <v>45595</v>
      </c>
      <c r="E1035">
        <v>50</v>
      </c>
      <c r="F1035">
        <v>42.29</v>
      </c>
      <c r="G1035">
        <v>154.31</v>
      </c>
    </row>
    <row r="1036" spans="4:7" x14ac:dyDescent="0.35">
      <c r="D1036" s="1">
        <v>45596</v>
      </c>
      <c r="E1036">
        <v>49</v>
      </c>
      <c r="F1036">
        <v>49.54</v>
      </c>
      <c r="G1036">
        <v>193.16</v>
      </c>
    </row>
    <row r="1037" spans="4:7" x14ac:dyDescent="0.35">
      <c r="D1037" s="1">
        <v>45597</v>
      </c>
      <c r="E1037">
        <v>56</v>
      </c>
      <c r="F1037">
        <v>36.21</v>
      </c>
      <c r="G1037">
        <v>225.46</v>
      </c>
    </row>
    <row r="1038" spans="4:7" x14ac:dyDescent="0.35">
      <c r="D1038" s="1">
        <v>45598</v>
      </c>
      <c r="E1038">
        <v>48</v>
      </c>
      <c r="F1038">
        <v>41.88</v>
      </c>
      <c r="G1038">
        <v>155.27000000000001</v>
      </c>
    </row>
    <row r="1039" spans="4:7" x14ac:dyDescent="0.35">
      <c r="D1039" s="1">
        <v>45599</v>
      </c>
      <c r="E1039">
        <v>47</v>
      </c>
      <c r="F1039">
        <v>37.92</v>
      </c>
      <c r="G1039">
        <v>227.48</v>
      </c>
    </row>
    <row r="1040" spans="4:7" x14ac:dyDescent="0.35">
      <c r="D1040" s="1">
        <v>45600</v>
      </c>
      <c r="E1040">
        <v>52</v>
      </c>
      <c r="F1040">
        <v>43.17</v>
      </c>
      <c r="G1040">
        <v>222.74</v>
      </c>
    </row>
    <row r="1041" spans="4:7" x14ac:dyDescent="0.35">
      <c r="D1041" s="1">
        <v>45601</v>
      </c>
      <c r="E1041">
        <v>52</v>
      </c>
      <c r="F1041">
        <v>40.270000000000003</v>
      </c>
      <c r="G1041">
        <v>173.45</v>
      </c>
    </row>
    <row r="1042" spans="4:7" x14ac:dyDescent="0.35">
      <c r="D1042" s="1">
        <v>45602</v>
      </c>
      <c r="E1042">
        <v>55</v>
      </c>
      <c r="F1042">
        <v>51.66</v>
      </c>
      <c r="G1042">
        <v>175.89</v>
      </c>
    </row>
    <row r="1043" spans="4:7" x14ac:dyDescent="0.35">
      <c r="D1043" s="1">
        <v>45603</v>
      </c>
      <c r="E1043">
        <v>55</v>
      </c>
      <c r="F1043">
        <v>45.58</v>
      </c>
      <c r="G1043">
        <v>136.56</v>
      </c>
    </row>
    <row r="1044" spans="4:7" x14ac:dyDescent="0.35">
      <c r="D1044" s="1">
        <v>45604</v>
      </c>
      <c r="E1044">
        <v>52</v>
      </c>
      <c r="F1044">
        <v>37.11</v>
      </c>
      <c r="G1044">
        <v>229.66</v>
      </c>
    </row>
    <row r="1045" spans="4:7" x14ac:dyDescent="0.35">
      <c r="D1045" s="1">
        <v>45605</v>
      </c>
      <c r="E1045">
        <v>50</v>
      </c>
      <c r="F1045">
        <v>36.619999999999997</v>
      </c>
      <c r="G1045">
        <v>150.28</v>
      </c>
    </row>
    <row r="1046" spans="4:7" x14ac:dyDescent="0.35">
      <c r="D1046" s="1">
        <v>45606</v>
      </c>
      <c r="E1046">
        <v>56</v>
      </c>
      <c r="F1046">
        <v>45.95</v>
      </c>
      <c r="G1046">
        <v>199.06</v>
      </c>
    </row>
    <row r="1047" spans="4:7" x14ac:dyDescent="0.35">
      <c r="D1047" s="1">
        <v>45607</v>
      </c>
      <c r="E1047">
        <v>54</v>
      </c>
      <c r="F1047">
        <v>33.93</v>
      </c>
      <c r="G1047">
        <v>151.04</v>
      </c>
    </row>
    <row r="1048" spans="4:7" x14ac:dyDescent="0.35">
      <c r="D1048" s="1">
        <v>45608</v>
      </c>
      <c r="E1048">
        <v>50</v>
      </c>
      <c r="F1048">
        <v>42.92</v>
      </c>
      <c r="G1048">
        <v>137.47</v>
      </c>
    </row>
    <row r="1049" spans="4:7" x14ac:dyDescent="0.35">
      <c r="D1049" s="1">
        <v>45609</v>
      </c>
      <c r="E1049">
        <v>50</v>
      </c>
      <c r="F1049">
        <v>45.39</v>
      </c>
      <c r="G1049">
        <v>156.47999999999999</v>
      </c>
    </row>
    <row r="1050" spans="4:7" x14ac:dyDescent="0.35">
      <c r="D1050" s="1">
        <v>45610</v>
      </c>
      <c r="E1050">
        <v>50</v>
      </c>
      <c r="F1050">
        <v>40.76</v>
      </c>
      <c r="G1050">
        <v>153.71</v>
      </c>
    </row>
    <row r="1051" spans="4:7" x14ac:dyDescent="0.35">
      <c r="D1051" s="1">
        <v>45611</v>
      </c>
      <c r="E1051">
        <v>53</v>
      </c>
      <c r="F1051">
        <v>35.479999999999997</v>
      </c>
      <c r="G1051">
        <v>175.06</v>
      </c>
    </row>
    <row r="1052" spans="4:7" x14ac:dyDescent="0.35">
      <c r="D1052" s="1">
        <v>45612</v>
      </c>
      <c r="E1052">
        <v>48</v>
      </c>
      <c r="F1052">
        <v>32.700000000000003</v>
      </c>
      <c r="G1052">
        <v>158.16</v>
      </c>
    </row>
    <row r="1053" spans="4:7" x14ac:dyDescent="0.35">
      <c r="D1053" s="1">
        <v>45613</v>
      </c>
      <c r="E1053">
        <v>56</v>
      </c>
      <c r="F1053">
        <v>38.76</v>
      </c>
      <c r="G1053">
        <v>145.32</v>
      </c>
    </row>
    <row r="1054" spans="4:7" x14ac:dyDescent="0.35">
      <c r="D1054" s="1">
        <v>45614</v>
      </c>
      <c r="E1054">
        <v>53</v>
      </c>
      <c r="F1054">
        <v>35.65</v>
      </c>
      <c r="G1054">
        <v>194</v>
      </c>
    </row>
    <row r="1055" spans="4:7" x14ac:dyDescent="0.35">
      <c r="D1055" s="1">
        <v>45615</v>
      </c>
      <c r="E1055">
        <v>53</v>
      </c>
      <c r="F1055">
        <v>42.62</v>
      </c>
      <c r="G1055">
        <v>221.14</v>
      </c>
    </row>
    <row r="1056" spans="4:7" x14ac:dyDescent="0.35">
      <c r="D1056" s="1">
        <v>45616</v>
      </c>
      <c r="E1056">
        <v>53</v>
      </c>
      <c r="F1056">
        <v>48.27</v>
      </c>
      <c r="G1056">
        <v>172.67</v>
      </c>
    </row>
    <row r="1057" spans="4:7" x14ac:dyDescent="0.35">
      <c r="D1057" s="1">
        <v>45617</v>
      </c>
      <c r="E1057">
        <v>58</v>
      </c>
      <c r="F1057">
        <v>43.04</v>
      </c>
      <c r="G1057">
        <v>226.01</v>
      </c>
    </row>
    <row r="1058" spans="4:7" x14ac:dyDescent="0.35">
      <c r="D1058" s="1">
        <v>45618</v>
      </c>
      <c r="E1058">
        <v>54</v>
      </c>
      <c r="F1058">
        <v>50.89</v>
      </c>
      <c r="G1058">
        <v>206.89</v>
      </c>
    </row>
    <row r="1059" spans="4:7" x14ac:dyDescent="0.35">
      <c r="D1059" s="1">
        <v>45619</v>
      </c>
      <c r="E1059">
        <v>50</v>
      </c>
      <c r="F1059">
        <v>40.08</v>
      </c>
      <c r="G1059">
        <v>211.36</v>
      </c>
    </row>
    <row r="1060" spans="4:7" x14ac:dyDescent="0.35">
      <c r="D1060" s="1">
        <v>45620</v>
      </c>
      <c r="E1060">
        <v>49</v>
      </c>
      <c r="F1060">
        <v>34.22</v>
      </c>
      <c r="G1060">
        <v>143.82</v>
      </c>
    </row>
    <row r="1061" spans="4:7" x14ac:dyDescent="0.35">
      <c r="D1061" s="1">
        <v>45621</v>
      </c>
      <c r="E1061">
        <v>51</v>
      </c>
      <c r="F1061">
        <v>32.56</v>
      </c>
      <c r="G1061">
        <v>178.89</v>
      </c>
    </row>
    <row r="1062" spans="4:7" x14ac:dyDescent="0.35">
      <c r="D1062" s="1">
        <v>45622</v>
      </c>
      <c r="E1062">
        <v>54</v>
      </c>
      <c r="F1062">
        <v>46.04</v>
      </c>
      <c r="G1062">
        <v>149.57</v>
      </c>
    </row>
    <row r="1063" spans="4:7" x14ac:dyDescent="0.35">
      <c r="D1063" s="1">
        <v>45623</v>
      </c>
      <c r="E1063">
        <v>53</v>
      </c>
      <c r="F1063">
        <v>41.34</v>
      </c>
      <c r="G1063">
        <v>203.74</v>
      </c>
    </row>
    <row r="1064" spans="4:7" x14ac:dyDescent="0.35">
      <c r="D1064" s="1">
        <v>45624</v>
      </c>
      <c r="E1064">
        <v>56</v>
      </c>
      <c r="F1064">
        <v>32.06</v>
      </c>
      <c r="G1064">
        <v>161.19999999999999</v>
      </c>
    </row>
    <row r="1065" spans="4:7" x14ac:dyDescent="0.35">
      <c r="D1065" s="1">
        <v>45625</v>
      </c>
      <c r="E1065">
        <v>53</v>
      </c>
      <c r="F1065">
        <v>48.67</v>
      </c>
      <c r="G1065">
        <v>185.19</v>
      </c>
    </row>
    <row r="1066" spans="4:7" x14ac:dyDescent="0.35">
      <c r="D1066" s="1">
        <v>45626</v>
      </c>
      <c r="E1066">
        <v>56</v>
      </c>
      <c r="F1066">
        <v>42.89</v>
      </c>
      <c r="G1066">
        <v>170.24</v>
      </c>
    </row>
    <row r="1067" spans="4:7" x14ac:dyDescent="0.35">
      <c r="D1067" s="1">
        <v>45627</v>
      </c>
      <c r="E1067">
        <v>52</v>
      </c>
      <c r="F1067">
        <v>44.47</v>
      </c>
      <c r="G1067">
        <v>196.97</v>
      </c>
    </row>
    <row r="1068" spans="4:7" x14ac:dyDescent="0.35">
      <c r="D1068" s="1">
        <v>45628</v>
      </c>
      <c r="E1068">
        <v>55</v>
      </c>
      <c r="F1068">
        <v>40.56</v>
      </c>
      <c r="G1068">
        <v>225.43</v>
      </c>
    </row>
    <row r="1069" spans="4:7" x14ac:dyDescent="0.35">
      <c r="D1069" s="1">
        <v>45629</v>
      </c>
      <c r="E1069">
        <v>49</v>
      </c>
      <c r="F1069">
        <v>37.33</v>
      </c>
      <c r="G1069">
        <v>152.04</v>
      </c>
    </row>
    <row r="1070" spans="4:7" x14ac:dyDescent="0.35">
      <c r="D1070" s="1">
        <v>45630</v>
      </c>
      <c r="E1070">
        <v>53</v>
      </c>
      <c r="F1070">
        <v>45.37</v>
      </c>
      <c r="G1070">
        <v>173.84</v>
      </c>
    </row>
    <row r="1071" spans="4:7" x14ac:dyDescent="0.35">
      <c r="D1071" s="1">
        <v>45631</v>
      </c>
      <c r="E1071">
        <v>48</v>
      </c>
      <c r="F1071">
        <v>46.77</v>
      </c>
      <c r="G1071">
        <v>200.1</v>
      </c>
    </row>
    <row r="1072" spans="4:7" x14ac:dyDescent="0.35">
      <c r="D1072" s="1">
        <v>45632</v>
      </c>
      <c r="E1072">
        <v>54</v>
      </c>
      <c r="F1072">
        <v>46.61</v>
      </c>
      <c r="G1072">
        <v>182.25</v>
      </c>
    </row>
    <row r="1073" spans="4:7" x14ac:dyDescent="0.35">
      <c r="D1073" s="1">
        <v>45633</v>
      </c>
      <c r="E1073">
        <v>55</v>
      </c>
      <c r="F1073">
        <v>42.99</v>
      </c>
      <c r="G1073">
        <v>168.08</v>
      </c>
    </row>
    <row r="1074" spans="4:7" x14ac:dyDescent="0.35">
      <c r="D1074" s="1">
        <v>45634</v>
      </c>
      <c r="E1074">
        <v>56</v>
      </c>
      <c r="F1074">
        <v>38.630000000000003</v>
      </c>
      <c r="G1074">
        <v>176.27</v>
      </c>
    </row>
    <row r="1075" spans="4:7" x14ac:dyDescent="0.35">
      <c r="D1075" s="1">
        <v>45635</v>
      </c>
      <c r="E1075">
        <v>49</v>
      </c>
      <c r="F1075">
        <v>48.19</v>
      </c>
      <c r="G1075">
        <v>191.79</v>
      </c>
    </row>
    <row r="1076" spans="4:7" x14ac:dyDescent="0.35">
      <c r="D1076" s="1">
        <v>45636</v>
      </c>
      <c r="E1076">
        <v>59</v>
      </c>
      <c r="F1076">
        <v>48.36</v>
      </c>
      <c r="G1076">
        <v>164.38</v>
      </c>
    </row>
    <row r="1077" spans="4:7" x14ac:dyDescent="0.35">
      <c r="D1077" s="1">
        <v>45637</v>
      </c>
      <c r="E1077">
        <v>56</v>
      </c>
      <c r="F1077">
        <v>36.94</v>
      </c>
      <c r="G1077">
        <v>200.14</v>
      </c>
    </row>
    <row r="1078" spans="4:7" x14ac:dyDescent="0.35">
      <c r="D1078" s="1">
        <v>45638</v>
      </c>
      <c r="E1078">
        <v>48</v>
      </c>
      <c r="F1078">
        <v>47.25</v>
      </c>
      <c r="G1078">
        <v>213.24</v>
      </c>
    </row>
    <row r="1079" spans="4:7" x14ac:dyDescent="0.35">
      <c r="D1079" s="1">
        <v>45639</v>
      </c>
      <c r="E1079">
        <v>57</v>
      </c>
      <c r="F1079">
        <v>34.86</v>
      </c>
      <c r="G1079">
        <v>229.57</v>
      </c>
    </row>
    <row r="1080" spans="4:7" x14ac:dyDescent="0.35">
      <c r="D1080" s="1">
        <v>45640</v>
      </c>
      <c r="E1080">
        <v>51</v>
      </c>
      <c r="F1080">
        <v>50.1</v>
      </c>
      <c r="G1080">
        <v>152.09</v>
      </c>
    </row>
    <row r="1081" spans="4:7" x14ac:dyDescent="0.35">
      <c r="D1081" s="1">
        <v>45641</v>
      </c>
      <c r="E1081">
        <v>49</v>
      </c>
      <c r="F1081">
        <v>44.53</v>
      </c>
      <c r="G1081">
        <v>213.33</v>
      </c>
    </row>
    <row r="1082" spans="4:7" x14ac:dyDescent="0.35">
      <c r="D1082" s="1">
        <v>45642</v>
      </c>
      <c r="E1082">
        <v>53</v>
      </c>
      <c r="F1082">
        <v>35.75</v>
      </c>
      <c r="G1082">
        <v>207.49</v>
      </c>
    </row>
    <row r="1083" spans="4:7" x14ac:dyDescent="0.35">
      <c r="D1083" s="1">
        <v>45643</v>
      </c>
      <c r="E1083">
        <v>59</v>
      </c>
      <c r="F1083">
        <v>33.89</v>
      </c>
      <c r="G1083">
        <v>153.03</v>
      </c>
    </row>
    <row r="1084" spans="4:7" x14ac:dyDescent="0.35">
      <c r="D1084" s="1">
        <v>45644</v>
      </c>
      <c r="E1084">
        <v>49</v>
      </c>
      <c r="F1084">
        <v>48.72</v>
      </c>
      <c r="G1084">
        <v>209.03</v>
      </c>
    </row>
    <row r="1085" spans="4:7" x14ac:dyDescent="0.35">
      <c r="D1085" s="1">
        <v>45645</v>
      </c>
      <c r="E1085">
        <v>49</v>
      </c>
      <c r="F1085">
        <v>40.6</v>
      </c>
      <c r="G1085">
        <v>166.44</v>
      </c>
    </row>
    <row r="1086" spans="4:7" x14ac:dyDescent="0.35">
      <c r="D1086" s="1">
        <v>45646</v>
      </c>
      <c r="E1086">
        <v>55</v>
      </c>
      <c r="F1086">
        <v>35.08</v>
      </c>
      <c r="G1086">
        <v>165.27</v>
      </c>
    </row>
    <row r="1087" spans="4:7" x14ac:dyDescent="0.35">
      <c r="D1087" s="1">
        <v>45647</v>
      </c>
      <c r="E1087">
        <v>53</v>
      </c>
      <c r="F1087">
        <v>47.45</v>
      </c>
      <c r="G1087">
        <v>217.52</v>
      </c>
    </row>
    <row r="1088" spans="4:7" x14ac:dyDescent="0.35">
      <c r="D1088" s="1">
        <v>45648</v>
      </c>
      <c r="E1088">
        <v>60</v>
      </c>
      <c r="F1088">
        <v>40.56</v>
      </c>
      <c r="G1088">
        <v>143.41</v>
      </c>
    </row>
    <row r="1089" spans="4:7" x14ac:dyDescent="0.35">
      <c r="D1089" s="1">
        <v>45649</v>
      </c>
      <c r="E1089">
        <v>53</v>
      </c>
      <c r="F1089">
        <v>47.5</v>
      </c>
      <c r="G1089">
        <v>187.09</v>
      </c>
    </row>
    <row r="1090" spans="4:7" x14ac:dyDescent="0.35">
      <c r="D1090" s="1">
        <v>45650</v>
      </c>
      <c r="E1090">
        <v>58</v>
      </c>
      <c r="F1090">
        <v>43.08</v>
      </c>
      <c r="G1090">
        <v>153.55000000000001</v>
      </c>
    </row>
    <row r="1091" spans="4:7" x14ac:dyDescent="0.35">
      <c r="D1091" s="1">
        <v>45651</v>
      </c>
      <c r="E1091">
        <v>53</v>
      </c>
      <c r="F1091">
        <v>37.020000000000003</v>
      </c>
      <c r="G1091">
        <v>204.85</v>
      </c>
    </row>
    <row r="1092" spans="4:7" x14ac:dyDescent="0.35">
      <c r="D1092" s="1">
        <v>45652</v>
      </c>
      <c r="E1092">
        <v>54</v>
      </c>
      <c r="F1092">
        <v>36.67</v>
      </c>
      <c r="G1092">
        <v>172.61</v>
      </c>
    </row>
    <row r="1093" spans="4:7" x14ac:dyDescent="0.35">
      <c r="D1093" s="1">
        <v>45653</v>
      </c>
      <c r="E1093">
        <v>59</v>
      </c>
      <c r="F1093">
        <v>32.270000000000003</v>
      </c>
      <c r="G1093">
        <v>194.23</v>
      </c>
    </row>
    <row r="1094" spans="4:7" x14ac:dyDescent="0.35">
      <c r="D1094" s="1">
        <v>45654</v>
      </c>
      <c r="E1094">
        <v>53</v>
      </c>
      <c r="F1094">
        <v>46.6</v>
      </c>
      <c r="G1094">
        <v>194</v>
      </c>
    </row>
    <row r="1095" spans="4:7" x14ac:dyDescent="0.35">
      <c r="D1095" s="1">
        <v>45655</v>
      </c>
      <c r="E1095">
        <v>54</v>
      </c>
      <c r="F1095">
        <v>37.340000000000003</v>
      </c>
      <c r="G1095">
        <v>170.52</v>
      </c>
    </row>
    <row r="1096" spans="4:7" x14ac:dyDescent="0.35">
      <c r="D1096" s="1">
        <v>45656</v>
      </c>
      <c r="E1096">
        <v>51</v>
      </c>
      <c r="F1096">
        <v>39.869999999999997</v>
      </c>
      <c r="G1096">
        <v>160.51</v>
      </c>
    </row>
    <row r="1097" spans="4:7" x14ac:dyDescent="0.35">
      <c r="D1097" s="1">
        <v>45657</v>
      </c>
      <c r="E1097">
        <v>58</v>
      </c>
      <c r="F1097">
        <v>39.17</v>
      </c>
      <c r="G1097">
        <v>173.37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92E09-0CE8-4FF2-BD2F-3966D53345AE}">
  <dimension ref="B4:C14"/>
  <sheetViews>
    <sheetView tabSelected="1" zoomScale="90" zoomScaleNormal="90" workbookViewId="0">
      <selection activeCell="C14" sqref="C14"/>
    </sheetView>
  </sheetViews>
  <sheetFormatPr defaultRowHeight="14.5" x14ac:dyDescent="0.35"/>
  <cols>
    <col min="2" max="2" width="14.26953125" bestFit="1" customWidth="1"/>
    <col min="3" max="3" width="11.1796875" bestFit="1" customWidth="1"/>
  </cols>
  <sheetData>
    <row r="4" spans="2:3" x14ac:dyDescent="0.35">
      <c r="B4" t="s">
        <v>6</v>
      </c>
      <c r="C4">
        <v>17365</v>
      </c>
    </row>
    <row r="5" spans="2:3" x14ac:dyDescent="0.35">
      <c r="B5" t="s">
        <v>7</v>
      </c>
      <c r="C5" s="5">
        <v>43</v>
      </c>
    </row>
    <row r="6" spans="2:3" x14ac:dyDescent="0.35">
      <c r="B6" t="s">
        <v>8</v>
      </c>
      <c r="C6" s="5">
        <v>183</v>
      </c>
    </row>
    <row r="7" spans="2:3" x14ac:dyDescent="0.35">
      <c r="B7" t="s">
        <v>9</v>
      </c>
      <c r="C7" s="6">
        <v>0.18</v>
      </c>
    </row>
    <row r="9" spans="2:3" x14ac:dyDescent="0.35">
      <c r="B9" t="s">
        <v>10</v>
      </c>
      <c r="C9" s="2">
        <v>906.16672461463736</v>
      </c>
    </row>
    <row r="11" spans="2:3" x14ac:dyDescent="0.35">
      <c r="B11" t="s">
        <v>11</v>
      </c>
      <c r="C11" s="7">
        <f>C4*C5</f>
        <v>746695</v>
      </c>
    </row>
    <row r="12" spans="2:3" x14ac:dyDescent="0.35">
      <c r="B12" t="s">
        <v>12</v>
      </c>
      <c r="C12" s="7">
        <f>C4/C9*C6</f>
        <v>3506.8546589496659</v>
      </c>
    </row>
    <row r="13" spans="2:3" x14ac:dyDescent="0.35">
      <c r="B13" t="s">
        <v>13</v>
      </c>
      <c r="C13" s="7">
        <f>C9/2*C5*C7</f>
        <v>3506.8652242586468</v>
      </c>
    </row>
    <row r="14" spans="2:3" x14ac:dyDescent="0.35">
      <c r="B14" t="s">
        <v>14</v>
      </c>
      <c r="C14" s="8">
        <f>SUM(C11:C13)</f>
        <v>753708.71988320828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CFFC4-8345-4683-B1E6-FBB3E80E474E}">
  <dimension ref="A1:D366"/>
  <sheetViews>
    <sheetView zoomScale="80" zoomScaleNormal="80" workbookViewId="0">
      <selection activeCell="R10" sqref="R10"/>
    </sheetView>
  </sheetViews>
  <sheetFormatPr defaultRowHeight="14.5" x14ac:dyDescent="0.35"/>
  <sheetData>
    <row r="1" spans="1:4" x14ac:dyDescent="0.35">
      <c r="A1" t="s">
        <v>24</v>
      </c>
      <c r="B1" t="s">
        <v>25</v>
      </c>
      <c r="C1" t="s">
        <v>26</v>
      </c>
      <c r="D1" t="s">
        <v>27</v>
      </c>
    </row>
    <row r="2" spans="1:4" x14ac:dyDescent="0.35">
      <c r="A2">
        <v>1</v>
      </c>
      <c r="B2" s="9">
        <v>906.16672461463736</v>
      </c>
      <c r="C2" s="9">
        <f>17365/365</f>
        <v>47.575342465753423</v>
      </c>
      <c r="D2">
        <v>0</v>
      </c>
    </row>
    <row r="3" spans="1:4" x14ac:dyDescent="0.35">
      <c r="A3">
        <v>2</v>
      </c>
      <c r="B3" s="9">
        <v>906.16672461463736</v>
      </c>
      <c r="C3" s="9">
        <f t="shared" ref="C3:C66" si="0">17365/365</f>
        <v>47.575342465753423</v>
      </c>
      <c r="D3">
        <v>0</v>
      </c>
    </row>
    <row r="4" spans="1:4" x14ac:dyDescent="0.35">
      <c r="A4">
        <v>3</v>
      </c>
      <c r="B4" s="9">
        <v>906.16672461463736</v>
      </c>
      <c r="C4" s="9">
        <f t="shared" si="0"/>
        <v>47.575342465753423</v>
      </c>
      <c r="D4">
        <v>0</v>
      </c>
    </row>
    <row r="5" spans="1:4" x14ac:dyDescent="0.35">
      <c r="A5">
        <v>4</v>
      </c>
      <c r="B5" s="9">
        <v>906.16672461463736</v>
      </c>
      <c r="C5" s="9">
        <f t="shared" si="0"/>
        <v>47.575342465753423</v>
      </c>
      <c r="D5">
        <v>0</v>
      </c>
    </row>
    <row r="6" spans="1:4" x14ac:dyDescent="0.35">
      <c r="A6">
        <v>5</v>
      </c>
      <c r="B6" s="9">
        <v>906.16672461463736</v>
      </c>
      <c r="C6" s="9">
        <f t="shared" si="0"/>
        <v>47.575342465753423</v>
      </c>
      <c r="D6">
        <v>0</v>
      </c>
    </row>
    <row r="7" spans="1:4" x14ac:dyDescent="0.35">
      <c r="A7">
        <v>6</v>
      </c>
      <c r="B7" s="9">
        <v>906.16672461463736</v>
      </c>
      <c r="C7" s="9">
        <f t="shared" si="0"/>
        <v>47.575342465753423</v>
      </c>
      <c r="D7">
        <v>0</v>
      </c>
    </row>
    <row r="8" spans="1:4" x14ac:dyDescent="0.35">
      <c r="A8">
        <v>7</v>
      </c>
      <c r="B8" s="9">
        <v>906.16672461463702</v>
      </c>
      <c r="C8" s="9">
        <f t="shared" si="0"/>
        <v>47.575342465753423</v>
      </c>
      <c r="D8">
        <v>0</v>
      </c>
    </row>
    <row r="9" spans="1:4" x14ac:dyDescent="0.35">
      <c r="A9">
        <v>8</v>
      </c>
      <c r="B9" s="9">
        <v>906.16672461463702</v>
      </c>
      <c r="C9" s="9">
        <f t="shared" si="0"/>
        <v>47.575342465753423</v>
      </c>
      <c r="D9">
        <v>0</v>
      </c>
    </row>
    <row r="10" spans="1:4" x14ac:dyDescent="0.35">
      <c r="A10">
        <v>9</v>
      </c>
      <c r="B10" s="9">
        <v>906.16672461463702</v>
      </c>
      <c r="C10" s="9">
        <f t="shared" si="0"/>
        <v>47.575342465753423</v>
      </c>
      <c r="D10">
        <v>0</v>
      </c>
    </row>
    <row r="11" spans="1:4" x14ac:dyDescent="0.35">
      <c r="A11">
        <v>10</v>
      </c>
      <c r="B11" s="9">
        <v>906.16672461463702</v>
      </c>
      <c r="C11" s="9">
        <f t="shared" si="0"/>
        <v>47.575342465753423</v>
      </c>
      <c r="D11">
        <v>0</v>
      </c>
    </row>
    <row r="12" spans="1:4" x14ac:dyDescent="0.35">
      <c r="A12">
        <v>11</v>
      </c>
      <c r="B12" s="9">
        <v>906.16672461463702</v>
      </c>
      <c r="C12" s="9">
        <f t="shared" si="0"/>
        <v>47.575342465753423</v>
      </c>
      <c r="D12">
        <v>0</v>
      </c>
    </row>
    <row r="13" spans="1:4" x14ac:dyDescent="0.35">
      <c r="A13">
        <v>12</v>
      </c>
      <c r="B13" s="9">
        <v>906.16672461463702</v>
      </c>
      <c r="C13" s="9">
        <f t="shared" si="0"/>
        <v>47.575342465753423</v>
      </c>
      <c r="D13">
        <v>0</v>
      </c>
    </row>
    <row r="14" spans="1:4" x14ac:dyDescent="0.35">
      <c r="A14">
        <v>13</v>
      </c>
      <c r="B14" s="9">
        <v>906.16672461463702</v>
      </c>
      <c r="C14" s="9">
        <f t="shared" si="0"/>
        <v>47.575342465753423</v>
      </c>
      <c r="D14">
        <v>0</v>
      </c>
    </row>
    <row r="15" spans="1:4" x14ac:dyDescent="0.35">
      <c r="A15">
        <v>14</v>
      </c>
      <c r="B15" s="9">
        <v>906.16672461463702</v>
      </c>
      <c r="C15" s="9">
        <f t="shared" si="0"/>
        <v>47.575342465753423</v>
      </c>
      <c r="D15">
        <v>0</v>
      </c>
    </row>
    <row r="16" spans="1:4" x14ac:dyDescent="0.35">
      <c r="A16">
        <v>15</v>
      </c>
      <c r="B16" s="9">
        <v>906.16672461463702</v>
      </c>
      <c r="C16" s="9">
        <f t="shared" si="0"/>
        <v>47.575342465753423</v>
      </c>
      <c r="D16">
        <v>0</v>
      </c>
    </row>
    <row r="17" spans="1:4" x14ac:dyDescent="0.35">
      <c r="A17">
        <v>16</v>
      </c>
      <c r="B17" s="9">
        <v>906.16672461463702</v>
      </c>
      <c r="C17" s="9">
        <f t="shared" si="0"/>
        <v>47.575342465753423</v>
      </c>
      <c r="D17">
        <v>0</v>
      </c>
    </row>
    <row r="18" spans="1:4" x14ac:dyDescent="0.35">
      <c r="A18">
        <v>17</v>
      </c>
      <c r="B18" s="9">
        <v>906.16672461463702</v>
      </c>
      <c r="C18" s="9">
        <f t="shared" si="0"/>
        <v>47.575342465753423</v>
      </c>
      <c r="D18">
        <v>0</v>
      </c>
    </row>
    <row r="19" spans="1:4" x14ac:dyDescent="0.35">
      <c r="A19">
        <v>18</v>
      </c>
      <c r="B19" s="9">
        <v>906.16672461463702</v>
      </c>
      <c r="C19" s="9">
        <f t="shared" si="0"/>
        <v>47.575342465753423</v>
      </c>
      <c r="D19">
        <v>0</v>
      </c>
    </row>
    <row r="20" spans="1:4" x14ac:dyDescent="0.35">
      <c r="A20">
        <v>19</v>
      </c>
      <c r="B20" s="9">
        <v>906.16672461463702</v>
      </c>
      <c r="C20" s="9">
        <f t="shared" si="0"/>
        <v>47.575342465753423</v>
      </c>
      <c r="D20">
        <v>0</v>
      </c>
    </row>
    <row r="21" spans="1:4" x14ac:dyDescent="0.35">
      <c r="A21">
        <v>20</v>
      </c>
      <c r="B21" s="9">
        <v>906.16672461463702</v>
      </c>
      <c r="C21" s="9">
        <f t="shared" si="0"/>
        <v>47.575342465753423</v>
      </c>
      <c r="D21">
        <v>0</v>
      </c>
    </row>
    <row r="22" spans="1:4" x14ac:dyDescent="0.35">
      <c r="A22">
        <v>21</v>
      </c>
      <c r="B22" s="9">
        <v>906.16672461463702</v>
      </c>
      <c r="C22" s="9">
        <f t="shared" si="0"/>
        <v>47.575342465753423</v>
      </c>
      <c r="D22">
        <v>0</v>
      </c>
    </row>
    <row r="23" spans="1:4" x14ac:dyDescent="0.35">
      <c r="A23">
        <v>22</v>
      </c>
      <c r="B23" s="9">
        <v>906.16672461463702</v>
      </c>
      <c r="C23" s="9">
        <f t="shared" si="0"/>
        <v>47.575342465753423</v>
      </c>
      <c r="D23">
        <v>0</v>
      </c>
    </row>
    <row r="24" spans="1:4" x14ac:dyDescent="0.35">
      <c r="A24">
        <v>23</v>
      </c>
      <c r="B24" s="9">
        <v>906.16672461463702</v>
      </c>
      <c r="C24" s="9">
        <f t="shared" si="0"/>
        <v>47.575342465753423</v>
      </c>
      <c r="D24">
        <v>0</v>
      </c>
    </row>
    <row r="25" spans="1:4" x14ac:dyDescent="0.35">
      <c r="A25">
        <v>24</v>
      </c>
      <c r="B25" s="9">
        <v>906.16672461463702</v>
      </c>
      <c r="C25" s="9">
        <f t="shared" si="0"/>
        <v>47.575342465753423</v>
      </c>
      <c r="D25">
        <v>0</v>
      </c>
    </row>
    <row r="26" spans="1:4" x14ac:dyDescent="0.35">
      <c r="A26">
        <v>25</v>
      </c>
      <c r="B26" s="9">
        <v>906.16672461463702</v>
      </c>
      <c r="C26" s="9">
        <f t="shared" si="0"/>
        <v>47.575342465753423</v>
      </c>
      <c r="D26">
        <v>0</v>
      </c>
    </row>
    <row r="27" spans="1:4" x14ac:dyDescent="0.35">
      <c r="A27">
        <v>26</v>
      </c>
      <c r="B27" s="9">
        <v>906.16672461463702</v>
      </c>
      <c r="C27" s="9">
        <f t="shared" si="0"/>
        <v>47.575342465753423</v>
      </c>
      <c r="D27">
        <v>0</v>
      </c>
    </row>
    <row r="28" spans="1:4" x14ac:dyDescent="0.35">
      <c r="A28">
        <v>27</v>
      </c>
      <c r="B28" s="9">
        <v>906.16672461463702</v>
      </c>
      <c r="C28" s="9">
        <f t="shared" si="0"/>
        <v>47.575342465753423</v>
      </c>
      <c r="D28">
        <v>0</v>
      </c>
    </row>
    <row r="29" spans="1:4" x14ac:dyDescent="0.35">
      <c r="A29">
        <v>28</v>
      </c>
      <c r="B29" s="9">
        <v>906.16672461463702</v>
      </c>
      <c r="C29" s="9">
        <f t="shared" si="0"/>
        <v>47.575342465753423</v>
      </c>
      <c r="D29">
        <v>0</v>
      </c>
    </row>
    <row r="30" spans="1:4" x14ac:dyDescent="0.35">
      <c r="A30">
        <v>29</v>
      </c>
      <c r="B30" s="9">
        <v>906.16672461463702</v>
      </c>
      <c r="C30" s="9">
        <f t="shared" si="0"/>
        <v>47.575342465753423</v>
      </c>
      <c r="D30">
        <v>0</v>
      </c>
    </row>
    <row r="31" spans="1:4" x14ac:dyDescent="0.35">
      <c r="A31">
        <v>30</v>
      </c>
      <c r="B31" s="9">
        <v>906.16672461463702</v>
      </c>
      <c r="C31" s="9">
        <f t="shared" si="0"/>
        <v>47.575342465753423</v>
      </c>
      <c r="D31">
        <v>0</v>
      </c>
    </row>
    <row r="32" spans="1:4" x14ac:dyDescent="0.35">
      <c r="A32">
        <v>31</v>
      </c>
      <c r="B32" s="9">
        <v>906.16672461463702</v>
      </c>
      <c r="C32" s="9">
        <f t="shared" si="0"/>
        <v>47.575342465753423</v>
      </c>
      <c r="D32">
        <v>0</v>
      </c>
    </row>
    <row r="33" spans="1:4" x14ac:dyDescent="0.35">
      <c r="A33">
        <v>32</v>
      </c>
      <c r="B33" s="9">
        <v>906.16672461463702</v>
      </c>
      <c r="C33" s="9">
        <f t="shared" si="0"/>
        <v>47.575342465753423</v>
      </c>
      <c r="D33">
        <v>0</v>
      </c>
    </row>
    <row r="34" spans="1:4" x14ac:dyDescent="0.35">
      <c r="A34">
        <v>33</v>
      </c>
      <c r="B34" s="9">
        <v>906.16672461463702</v>
      </c>
      <c r="C34" s="9">
        <f t="shared" si="0"/>
        <v>47.575342465753423</v>
      </c>
      <c r="D34">
        <v>0</v>
      </c>
    </row>
    <row r="35" spans="1:4" x14ac:dyDescent="0.35">
      <c r="A35">
        <v>34</v>
      </c>
      <c r="B35" s="9">
        <v>906.16672461463702</v>
      </c>
      <c r="C35" s="9">
        <f t="shared" si="0"/>
        <v>47.575342465753423</v>
      </c>
      <c r="D35">
        <v>0</v>
      </c>
    </row>
    <row r="36" spans="1:4" x14ac:dyDescent="0.35">
      <c r="A36">
        <v>35</v>
      </c>
      <c r="B36" s="9">
        <v>906.16672461463702</v>
      </c>
      <c r="C36" s="9">
        <f t="shared" si="0"/>
        <v>47.575342465753423</v>
      </c>
      <c r="D36">
        <v>0</v>
      </c>
    </row>
    <row r="37" spans="1:4" x14ac:dyDescent="0.35">
      <c r="A37">
        <v>36</v>
      </c>
      <c r="B37" s="9">
        <v>906.16672461463702</v>
      </c>
      <c r="C37" s="9">
        <f t="shared" si="0"/>
        <v>47.575342465753423</v>
      </c>
      <c r="D37">
        <v>0</v>
      </c>
    </row>
    <row r="38" spans="1:4" x14ac:dyDescent="0.35">
      <c r="A38">
        <v>37</v>
      </c>
      <c r="B38" s="9">
        <v>906.16672461463702</v>
      </c>
      <c r="C38" s="9">
        <f t="shared" si="0"/>
        <v>47.575342465753423</v>
      </c>
      <c r="D38">
        <v>0</v>
      </c>
    </row>
    <row r="39" spans="1:4" x14ac:dyDescent="0.35">
      <c r="A39">
        <v>38</v>
      </c>
      <c r="B39" s="9">
        <v>906.16672461463702</v>
      </c>
      <c r="C39" s="9">
        <f t="shared" si="0"/>
        <v>47.575342465753423</v>
      </c>
      <c r="D39">
        <v>0</v>
      </c>
    </row>
    <row r="40" spans="1:4" x14ac:dyDescent="0.35">
      <c r="A40">
        <v>39</v>
      </c>
      <c r="B40" s="9">
        <v>906.16672461463702</v>
      </c>
      <c r="C40" s="9">
        <f t="shared" si="0"/>
        <v>47.575342465753423</v>
      </c>
      <c r="D40">
        <v>0</v>
      </c>
    </row>
    <row r="41" spans="1:4" x14ac:dyDescent="0.35">
      <c r="A41">
        <v>40</v>
      </c>
      <c r="B41" s="9">
        <v>906.16672461463702</v>
      </c>
      <c r="C41" s="9">
        <f t="shared" si="0"/>
        <v>47.575342465753423</v>
      </c>
      <c r="D41">
        <v>0</v>
      </c>
    </row>
    <row r="42" spans="1:4" x14ac:dyDescent="0.35">
      <c r="A42">
        <v>41</v>
      </c>
      <c r="B42" s="9">
        <v>906.16672461463702</v>
      </c>
      <c r="C42" s="9">
        <f t="shared" si="0"/>
        <v>47.575342465753423</v>
      </c>
      <c r="D42">
        <v>0</v>
      </c>
    </row>
    <row r="43" spans="1:4" x14ac:dyDescent="0.35">
      <c r="A43">
        <v>42</v>
      </c>
      <c r="B43" s="9">
        <v>906.16672461463702</v>
      </c>
      <c r="C43" s="9">
        <f t="shared" si="0"/>
        <v>47.575342465753423</v>
      </c>
      <c r="D43">
        <v>0</v>
      </c>
    </row>
    <row r="44" spans="1:4" x14ac:dyDescent="0.35">
      <c r="A44">
        <v>43</v>
      </c>
      <c r="B44" s="9">
        <v>906.16672461463702</v>
      </c>
      <c r="C44" s="9">
        <f t="shared" si="0"/>
        <v>47.575342465753423</v>
      </c>
      <c r="D44">
        <v>0</v>
      </c>
    </row>
    <row r="45" spans="1:4" x14ac:dyDescent="0.35">
      <c r="A45">
        <v>44</v>
      </c>
      <c r="B45" s="9">
        <v>906.16672461463702</v>
      </c>
      <c r="C45" s="9">
        <f t="shared" si="0"/>
        <v>47.575342465753423</v>
      </c>
      <c r="D45">
        <v>0</v>
      </c>
    </row>
    <row r="46" spans="1:4" x14ac:dyDescent="0.35">
      <c r="A46">
        <v>45</v>
      </c>
      <c r="B46" s="9">
        <v>906.16672461463702</v>
      </c>
      <c r="C46" s="9">
        <f t="shared" si="0"/>
        <v>47.575342465753423</v>
      </c>
      <c r="D46">
        <v>0</v>
      </c>
    </row>
    <row r="47" spans="1:4" x14ac:dyDescent="0.35">
      <c r="A47">
        <v>46</v>
      </c>
      <c r="B47" s="9">
        <v>906.16672461463702</v>
      </c>
      <c r="C47" s="9">
        <f t="shared" si="0"/>
        <v>47.575342465753423</v>
      </c>
      <c r="D47">
        <v>0</v>
      </c>
    </row>
    <row r="48" spans="1:4" x14ac:dyDescent="0.35">
      <c r="A48">
        <v>47</v>
      </c>
      <c r="B48" s="9">
        <v>906.16672461463702</v>
      </c>
      <c r="C48" s="9">
        <f t="shared" si="0"/>
        <v>47.575342465753423</v>
      </c>
      <c r="D48">
        <v>0</v>
      </c>
    </row>
    <row r="49" spans="1:4" x14ac:dyDescent="0.35">
      <c r="A49">
        <v>48</v>
      </c>
      <c r="B49" s="9">
        <v>906.16672461463702</v>
      </c>
      <c r="C49" s="9">
        <f t="shared" si="0"/>
        <v>47.575342465753423</v>
      </c>
      <c r="D49">
        <v>0</v>
      </c>
    </row>
    <row r="50" spans="1:4" x14ac:dyDescent="0.35">
      <c r="A50">
        <v>49</v>
      </c>
      <c r="B50" s="9">
        <v>906.16672461463702</v>
      </c>
      <c r="C50" s="9">
        <f t="shared" si="0"/>
        <v>47.575342465753423</v>
      </c>
      <c r="D50">
        <v>0</v>
      </c>
    </row>
    <row r="51" spans="1:4" x14ac:dyDescent="0.35">
      <c r="A51">
        <v>50</v>
      </c>
      <c r="B51" s="9">
        <v>906.16672461463702</v>
      </c>
      <c r="C51" s="9">
        <f t="shared" si="0"/>
        <v>47.575342465753423</v>
      </c>
      <c r="D51">
        <v>0</v>
      </c>
    </row>
    <row r="52" spans="1:4" x14ac:dyDescent="0.35">
      <c r="A52">
        <v>51</v>
      </c>
      <c r="B52" s="9">
        <v>906.16672461463702</v>
      </c>
      <c r="C52" s="9">
        <f t="shared" si="0"/>
        <v>47.575342465753423</v>
      </c>
      <c r="D52">
        <v>0</v>
      </c>
    </row>
    <row r="53" spans="1:4" x14ac:dyDescent="0.35">
      <c r="A53">
        <v>52</v>
      </c>
      <c r="B53" s="9">
        <v>906.16672461463702</v>
      </c>
      <c r="C53" s="9">
        <f t="shared" si="0"/>
        <v>47.575342465753423</v>
      </c>
      <c r="D53">
        <v>0</v>
      </c>
    </row>
    <row r="54" spans="1:4" x14ac:dyDescent="0.35">
      <c r="A54">
        <v>53</v>
      </c>
      <c r="B54" s="9">
        <v>906.16672461463702</v>
      </c>
      <c r="C54" s="9">
        <f t="shared" si="0"/>
        <v>47.575342465753423</v>
      </c>
      <c r="D54">
        <v>0</v>
      </c>
    </row>
    <row r="55" spans="1:4" x14ac:dyDescent="0.35">
      <c r="A55">
        <v>54</v>
      </c>
      <c r="B55" s="9">
        <v>906.16672461463702</v>
      </c>
      <c r="C55" s="9">
        <f t="shared" si="0"/>
        <v>47.575342465753423</v>
      </c>
      <c r="D55">
        <v>0</v>
      </c>
    </row>
    <row r="56" spans="1:4" x14ac:dyDescent="0.35">
      <c r="A56">
        <v>55</v>
      </c>
      <c r="B56" s="9">
        <v>906.16672461463702</v>
      </c>
      <c r="C56" s="9">
        <f t="shared" si="0"/>
        <v>47.575342465753423</v>
      </c>
      <c r="D56">
        <v>0</v>
      </c>
    </row>
    <row r="57" spans="1:4" x14ac:dyDescent="0.35">
      <c r="A57">
        <v>56</v>
      </c>
      <c r="B57" s="9">
        <v>906.16672461463702</v>
      </c>
      <c r="C57" s="9">
        <f t="shared" si="0"/>
        <v>47.575342465753423</v>
      </c>
      <c r="D57">
        <v>0</v>
      </c>
    </row>
    <row r="58" spans="1:4" x14ac:dyDescent="0.35">
      <c r="A58">
        <v>57</v>
      </c>
      <c r="B58" s="9">
        <v>906.16672461463702</v>
      </c>
      <c r="C58" s="9">
        <f t="shared" si="0"/>
        <v>47.575342465753423</v>
      </c>
      <c r="D58">
        <v>0</v>
      </c>
    </row>
    <row r="59" spans="1:4" x14ac:dyDescent="0.35">
      <c r="A59">
        <v>58</v>
      </c>
      <c r="B59" s="9">
        <v>906.16672461463702</v>
      </c>
      <c r="C59" s="9">
        <f t="shared" si="0"/>
        <v>47.575342465753423</v>
      </c>
      <c r="D59">
        <v>0</v>
      </c>
    </row>
    <row r="60" spans="1:4" x14ac:dyDescent="0.35">
      <c r="A60">
        <v>59</v>
      </c>
      <c r="B60" s="9">
        <v>906.16672461463702</v>
      </c>
      <c r="C60" s="9">
        <f t="shared" si="0"/>
        <v>47.575342465753423</v>
      </c>
      <c r="D60">
        <v>0</v>
      </c>
    </row>
    <row r="61" spans="1:4" x14ac:dyDescent="0.35">
      <c r="A61">
        <v>60</v>
      </c>
      <c r="B61" s="9">
        <v>906.16672461463702</v>
      </c>
      <c r="C61" s="9">
        <f t="shared" si="0"/>
        <v>47.575342465753423</v>
      </c>
      <c r="D61">
        <v>0</v>
      </c>
    </row>
    <row r="62" spans="1:4" x14ac:dyDescent="0.35">
      <c r="A62">
        <v>61</v>
      </c>
      <c r="B62" s="9">
        <v>906.16672461463702</v>
      </c>
      <c r="C62" s="9">
        <f t="shared" si="0"/>
        <v>47.575342465753423</v>
      </c>
      <c r="D62">
        <v>0</v>
      </c>
    </row>
    <row r="63" spans="1:4" x14ac:dyDescent="0.35">
      <c r="A63">
        <v>62</v>
      </c>
      <c r="B63" s="9">
        <v>906.16672461463702</v>
      </c>
      <c r="C63" s="9">
        <f t="shared" si="0"/>
        <v>47.575342465753423</v>
      </c>
      <c r="D63">
        <v>0</v>
      </c>
    </row>
    <row r="64" spans="1:4" x14ac:dyDescent="0.35">
      <c r="A64">
        <v>63</v>
      </c>
      <c r="B64" s="9">
        <v>906.16672461463702</v>
      </c>
      <c r="C64" s="9">
        <f t="shared" si="0"/>
        <v>47.575342465753423</v>
      </c>
      <c r="D64">
        <v>0</v>
      </c>
    </row>
    <row r="65" spans="1:4" x14ac:dyDescent="0.35">
      <c r="A65">
        <v>64</v>
      </c>
      <c r="B65" s="9">
        <v>906.16672461463702</v>
      </c>
      <c r="C65" s="9">
        <f t="shared" si="0"/>
        <v>47.575342465753423</v>
      </c>
      <c r="D65">
        <v>0</v>
      </c>
    </row>
    <row r="66" spans="1:4" x14ac:dyDescent="0.35">
      <c r="A66">
        <v>65</v>
      </c>
      <c r="B66" s="9">
        <v>906.16672461463702</v>
      </c>
      <c r="C66" s="9">
        <f t="shared" si="0"/>
        <v>47.575342465753423</v>
      </c>
      <c r="D66">
        <v>0</v>
      </c>
    </row>
    <row r="67" spans="1:4" x14ac:dyDescent="0.35">
      <c r="A67">
        <v>66</v>
      </c>
      <c r="B67" s="9">
        <v>906.16672461463702</v>
      </c>
      <c r="C67" s="9">
        <f t="shared" ref="C67:C130" si="1">17365/365</f>
        <v>47.575342465753423</v>
      </c>
      <c r="D67">
        <v>0</v>
      </c>
    </row>
    <row r="68" spans="1:4" x14ac:dyDescent="0.35">
      <c r="A68">
        <v>67</v>
      </c>
      <c r="B68" s="9">
        <v>906.16672461463702</v>
      </c>
      <c r="C68" s="9">
        <f t="shared" si="1"/>
        <v>47.575342465753423</v>
      </c>
      <c r="D68">
        <v>0</v>
      </c>
    </row>
    <row r="69" spans="1:4" x14ac:dyDescent="0.35">
      <c r="A69">
        <v>68</v>
      </c>
      <c r="B69" s="9">
        <v>906.16672461463702</v>
      </c>
      <c r="C69" s="9">
        <f t="shared" si="1"/>
        <v>47.575342465753423</v>
      </c>
      <c r="D69">
        <v>0</v>
      </c>
    </row>
    <row r="70" spans="1:4" x14ac:dyDescent="0.35">
      <c r="A70">
        <v>69</v>
      </c>
      <c r="B70" s="9">
        <v>906.16672461463702</v>
      </c>
      <c r="C70" s="9">
        <f t="shared" si="1"/>
        <v>47.575342465753423</v>
      </c>
      <c r="D70">
        <v>0</v>
      </c>
    </row>
    <row r="71" spans="1:4" x14ac:dyDescent="0.35">
      <c r="A71">
        <v>70</v>
      </c>
      <c r="B71" s="9">
        <v>906.16672461463702</v>
      </c>
      <c r="C71" s="9">
        <f t="shared" si="1"/>
        <v>47.575342465753423</v>
      </c>
      <c r="D71">
        <v>0</v>
      </c>
    </row>
    <row r="72" spans="1:4" x14ac:dyDescent="0.35">
      <c r="A72">
        <v>71</v>
      </c>
      <c r="B72" s="9">
        <v>906.16672461463702</v>
      </c>
      <c r="C72" s="9">
        <f t="shared" si="1"/>
        <v>47.575342465753423</v>
      </c>
      <c r="D72">
        <v>0</v>
      </c>
    </row>
    <row r="73" spans="1:4" x14ac:dyDescent="0.35">
      <c r="A73">
        <v>72</v>
      </c>
      <c r="B73" s="9">
        <v>906.16672461463702</v>
      </c>
      <c r="C73" s="9">
        <f t="shared" si="1"/>
        <v>47.575342465753423</v>
      </c>
      <c r="D73">
        <v>0</v>
      </c>
    </row>
    <row r="74" spans="1:4" x14ac:dyDescent="0.35">
      <c r="A74">
        <v>73</v>
      </c>
      <c r="B74" s="9">
        <v>906.16672461463702</v>
      </c>
      <c r="C74" s="9">
        <f t="shared" si="1"/>
        <v>47.575342465753423</v>
      </c>
      <c r="D74">
        <v>0</v>
      </c>
    </row>
    <row r="75" spans="1:4" x14ac:dyDescent="0.35">
      <c r="A75">
        <v>74</v>
      </c>
      <c r="B75" s="9">
        <v>906.16672461463702</v>
      </c>
      <c r="C75" s="9">
        <f t="shared" si="1"/>
        <v>47.575342465753423</v>
      </c>
      <c r="D75">
        <v>0</v>
      </c>
    </row>
    <row r="76" spans="1:4" x14ac:dyDescent="0.35">
      <c r="A76">
        <v>75</v>
      </c>
      <c r="B76" s="9">
        <v>906.16672461463702</v>
      </c>
      <c r="C76" s="9">
        <f t="shared" si="1"/>
        <v>47.575342465753423</v>
      </c>
      <c r="D76">
        <v>0</v>
      </c>
    </row>
    <row r="77" spans="1:4" x14ac:dyDescent="0.35">
      <c r="A77">
        <v>76</v>
      </c>
      <c r="B77" s="9">
        <v>906.16672461463702</v>
      </c>
      <c r="C77" s="9">
        <f t="shared" si="1"/>
        <v>47.575342465753423</v>
      </c>
      <c r="D77">
        <v>0</v>
      </c>
    </row>
    <row r="78" spans="1:4" x14ac:dyDescent="0.35">
      <c r="A78">
        <v>77</v>
      </c>
      <c r="B78" s="9">
        <v>906.16672461463702</v>
      </c>
      <c r="C78" s="9">
        <f t="shared" si="1"/>
        <v>47.575342465753423</v>
      </c>
      <c r="D78">
        <v>0</v>
      </c>
    </row>
    <row r="79" spans="1:4" x14ac:dyDescent="0.35">
      <c r="A79">
        <v>78</v>
      </c>
      <c r="B79" s="9">
        <v>906.16672461463702</v>
      </c>
      <c r="C79" s="9">
        <f t="shared" si="1"/>
        <v>47.575342465753423</v>
      </c>
      <c r="D79">
        <v>0</v>
      </c>
    </row>
    <row r="80" spans="1:4" x14ac:dyDescent="0.35">
      <c r="A80">
        <v>79</v>
      </c>
      <c r="B80" s="9">
        <v>906.16672461463702</v>
      </c>
      <c r="C80" s="9">
        <f t="shared" si="1"/>
        <v>47.575342465753423</v>
      </c>
      <c r="D80">
        <v>0</v>
      </c>
    </row>
    <row r="81" spans="1:4" x14ac:dyDescent="0.35">
      <c r="A81">
        <v>80</v>
      </c>
      <c r="B81" s="9">
        <v>906.16672461463702</v>
      </c>
      <c r="C81" s="9">
        <f t="shared" si="1"/>
        <v>47.575342465753423</v>
      </c>
      <c r="D81">
        <v>0</v>
      </c>
    </row>
    <row r="82" spans="1:4" x14ac:dyDescent="0.35">
      <c r="A82">
        <v>81</v>
      </c>
      <c r="B82" s="9">
        <v>906.16672461463702</v>
      </c>
      <c r="C82" s="9">
        <f t="shared" si="1"/>
        <v>47.575342465753423</v>
      </c>
      <c r="D82">
        <v>0</v>
      </c>
    </row>
    <row r="83" spans="1:4" x14ac:dyDescent="0.35">
      <c r="A83">
        <v>82</v>
      </c>
      <c r="B83" s="9">
        <v>906.16672461463702</v>
      </c>
      <c r="C83" s="9">
        <f t="shared" si="1"/>
        <v>47.575342465753423</v>
      </c>
      <c r="D83">
        <v>0</v>
      </c>
    </row>
    <row r="84" spans="1:4" x14ac:dyDescent="0.35">
      <c r="A84">
        <v>83</v>
      </c>
      <c r="B84" s="9">
        <v>906.16672461463702</v>
      </c>
      <c r="C84" s="9">
        <f t="shared" si="1"/>
        <v>47.575342465753423</v>
      </c>
      <c r="D84">
        <v>0</v>
      </c>
    </row>
    <row r="85" spans="1:4" x14ac:dyDescent="0.35">
      <c r="A85">
        <v>84</v>
      </c>
      <c r="B85" s="9">
        <v>906.16672461463702</v>
      </c>
      <c r="C85" s="9">
        <f t="shared" si="1"/>
        <v>47.575342465753423</v>
      </c>
      <c r="D85">
        <v>0</v>
      </c>
    </row>
    <row r="86" spans="1:4" x14ac:dyDescent="0.35">
      <c r="A86">
        <v>85</v>
      </c>
      <c r="B86" s="9">
        <v>906.16672461463702</v>
      </c>
      <c r="C86" s="9">
        <f t="shared" si="1"/>
        <v>47.575342465753423</v>
      </c>
      <c r="D86">
        <v>0</v>
      </c>
    </row>
    <row r="87" spans="1:4" x14ac:dyDescent="0.35">
      <c r="A87">
        <v>86</v>
      </c>
      <c r="B87" s="9">
        <v>906.16672461463702</v>
      </c>
      <c r="C87" s="9">
        <f t="shared" si="1"/>
        <v>47.575342465753423</v>
      </c>
      <c r="D87">
        <v>0</v>
      </c>
    </row>
    <row r="88" spans="1:4" x14ac:dyDescent="0.35">
      <c r="A88">
        <v>87</v>
      </c>
      <c r="B88" s="9">
        <v>906.16672461463702</v>
      </c>
      <c r="C88" s="9">
        <f t="shared" si="1"/>
        <v>47.575342465753423</v>
      </c>
      <c r="D88">
        <v>0</v>
      </c>
    </row>
    <row r="89" spans="1:4" x14ac:dyDescent="0.35">
      <c r="A89">
        <v>88</v>
      </c>
      <c r="B89" s="9">
        <v>906.16672461463702</v>
      </c>
      <c r="C89" s="9">
        <f t="shared" si="1"/>
        <v>47.575342465753423</v>
      </c>
      <c r="D89">
        <v>0</v>
      </c>
    </row>
    <row r="90" spans="1:4" x14ac:dyDescent="0.35">
      <c r="A90">
        <v>89</v>
      </c>
      <c r="B90" s="9">
        <v>906.16672461463702</v>
      </c>
      <c r="C90" s="9">
        <f t="shared" si="1"/>
        <v>47.575342465753423</v>
      </c>
      <c r="D90">
        <v>0</v>
      </c>
    </row>
    <row r="91" spans="1:4" x14ac:dyDescent="0.35">
      <c r="A91">
        <v>90</v>
      </c>
      <c r="B91" s="9">
        <v>906.16672461463702</v>
      </c>
      <c r="C91" s="9">
        <f t="shared" si="1"/>
        <v>47.575342465753423</v>
      </c>
      <c r="D91">
        <v>0</v>
      </c>
    </row>
    <row r="92" spans="1:4" x14ac:dyDescent="0.35">
      <c r="A92">
        <v>91</v>
      </c>
      <c r="B92" s="9">
        <v>906.16672461463702</v>
      </c>
      <c r="C92" s="9">
        <f t="shared" si="1"/>
        <v>47.575342465753423</v>
      </c>
      <c r="D92">
        <v>0</v>
      </c>
    </row>
    <row r="93" spans="1:4" x14ac:dyDescent="0.35">
      <c r="A93">
        <v>92</v>
      </c>
      <c r="B93" s="9">
        <v>906.16672461463702</v>
      </c>
      <c r="C93" s="9">
        <f t="shared" si="1"/>
        <v>47.575342465753423</v>
      </c>
      <c r="D93">
        <v>0</v>
      </c>
    </row>
    <row r="94" spans="1:4" x14ac:dyDescent="0.35">
      <c r="A94">
        <v>93</v>
      </c>
      <c r="B94" s="9">
        <v>906.16672461463702</v>
      </c>
      <c r="C94" s="9">
        <f t="shared" si="1"/>
        <v>47.575342465753423</v>
      </c>
      <c r="D94">
        <v>0</v>
      </c>
    </row>
    <row r="95" spans="1:4" x14ac:dyDescent="0.35">
      <c r="A95">
        <v>94</v>
      </c>
      <c r="B95" s="9">
        <v>906.16672461463702</v>
      </c>
      <c r="C95" s="9">
        <f t="shared" si="1"/>
        <v>47.575342465753423</v>
      </c>
      <c r="D95">
        <v>0</v>
      </c>
    </row>
    <row r="96" spans="1:4" x14ac:dyDescent="0.35">
      <c r="A96">
        <v>95</v>
      </c>
      <c r="B96" s="9">
        <v>906.16672461463702</v>
      </c>
      <c r="C96" s="9">
        <f t="shared" si="1"/>
        <v>47.575342465753423</v>
      </c>
      <c r="D96">
        <v>0</v>
      </c>
    </row>
    <row r="97" spans="1:4" x14ac:dyDescent="0.35">
      <c r="A97">
        <v>96</v>
      </c>
      <c r="B97" s="9">
        <v>906.16672461463702</v>
      </c>
      <c r="C97" s="9">
        <f t="shared" si="1"/>
        <v>47.575342465753423</v>
      </c>
      <c r="D97">
        <v>0</v>
      </c>
    </row>
    <row r="98" spans="1:4" x14ac:dyDescent="0.35">
      <c r="A98">
        <v>97</v>
      </c>
      <c r="B98" s="9">
        <v>906.16672461463702</v>
      </c>
      <c r="C98" s="9">
        <f t="shared" si="1"/>
        <v>47.575342465753423</v>
      </c>
      <c r="D98">
        <v>0</v>
      </c>
    </row>
    <row r="99" spans="1:4" x14ac:dyDescent="0.35">
      <c r="A99">
        <v>98</v>
      </c>
      <c r="B99" s="9">
        <v>906.16672461463702</v>
      </c>
      <c r="C99" s="9">
        <f t="shared" si="1"/>
        <v>47.575342465753423</v>
      </c>
      <c r="D99">
        <v>0</v>
      </c>
    </row>
    <row r="100" spans="1:4" x14ac:dyDescent="0.35">
      <c r="A100">
        <v>99</v>
      </c>
      <c r="B100" s="9">
        <v>906.16672461463702</v>
      </c>
      <c r="C100" s="9">
        <f t="shared" si="1"/>
        <v>47.575342465753423</v>
      </c>
      <c r="D100">
        <v>0</v>
      </c>
    </row>
    <row r="101" spans="1:4" x14ac:dyDescent="0.35">
      <c r="A101">
        <v>100</v>
      </c>
      <c r="B101" s="9">
        <v>906.16672461463702</v>
      </c>
      <c r="C101" s="9">
        <f t="shared" si="1"/>
        <v>47.575342465753423</v>
      </c>
      <c r="D101">
        <v>0</v>
      </c>
    </row>
    <row r="102" spans="1:4" x14ac:dyDescent="0.35">
      <c r="A102">
        <v>101</v>
      </c>
      <c r="B102" s="9">
        <v>906.16672461463702</v>
      </c>
      <c r="C102" s="9">
        <f t="shared" si="1"/>
        <v>47.575342465753423</v>
      </c>
      <c r="D102">
        <v>0</v>
      </c>
    </row>
    <row r="103" spans="1:4" x14ac:dyDescent="0.35">
      <c r="A103">
        <v>102</v>
      </c>
      <c r="B103" s="9">
        <v>906.16672461463702</v>
      </c>
      <c r="C103" s="9">
        <f t="shared" si="1"/>
        <v>47.575342465753423</v>
      </c>
      <c r="D103">
        <v>0</v>
      </c>
    </row>
    <row r="104" spans="1:4" x14ac:dyDescent="0.35">
      <c r="A104">
        <v>103</v>
      </c>
      <c r="B104" s="9">
        <v>906.16672461463702</v>
      </c>
      <c r="C104" s="9">
        <f t="shared" si="1"/>
        <v>47.575342465753423</v>
      </c>
      <c r="D104">
        <v>0</v>
      </c>
    </row>
    <row r="105" spans="1:4" x14ac:dyDescent="0.35">
      <c r="A105">
        <v>104</v>
      </c>
      <c r="B105" s="9">
        <v>906.16672461463702</v>
      </c>
      <c r="C105" s="9">
        <f t="shared" si="1"/>
        <v>47.575342465753423</v>
      </c>
      <c r="D105">
        <v>0</v>
      </c>
    </row>
    <row r="106" spans="1:4" x14ac:dyDescent="0.35">
      <c r="A106">
        <v>105</v>
      </c>
      <c r="B106" s="9">
        <v>906.16672461463702</v>
      </c>
      <c r="C106" s="9">
        <f t="shared" si="1"/>
        <v>47.575342465753423</v>
      </c>
      <c r="D106">
        <v>0</v>
      </c>
    </row>
    <row r="107" spans="1:4" x14ac:dyDescent="0.35">
      <c r="A107">
        <v>106</v>
      </c>
      <c r="B107" s="9">
        <v>906.16672461463702</v>
      </c>
      <c r="C107" s="9">
        <f t="shared" si="1"/>
        <v>47.575342465753423</v>
      </c>
      <c r="D107">
        <v>0</v>
      </c>
    </row>
    <row r="108" spans="1:4" x14ac:dyDescent="0.35">
      <c r="A108">
        <v>107</v>
      </c>
      <c r="B108" s="9">
        <v>906.16672461463702</v>
      </c>
      <c r="C108" s="9">
        <f t="shared" si="1"/>
        <v>47.575342465753423</v>
      </c>
      <c r="D108">
        <v>0</v>
      </c>
    </row>
    <row r="109" spans="1:4" x14ac:dyDescent="0.35">
      <c r="A109">
        <v>108</v>
      </c>
      <c r="B109" s="9">
        <v>906.16672461463702</v>
      </c>
      <c r="C109" s="9">
        <f t="shared" si="1"/>
        <v>47.575342465753423</v>
      </c>
      <c r="D109">
        <v>0</v>
      </c>
    </row>
    <row r="110" spans="1:4" x14ac:dyDescent="0.35">
      <c r="A110">
        <v>109</v>
      </c>
      <c r="B110" s="9">
        <v>906.16672461463702</v>
      </c>
      <c r="C110" s="9">
        <f t="shared" si="1"/>
        <v>47.575342465753423</v>
      </c>
      <c r="D110">
        <v>0</v>
      </c>
    </row>
    <row r="111" spans="1:4" x14ac:dyDescent="0.35">
      <c r="A111">
        <v>110</v>
      </c>
      <c r="B111" s="9">
        <v>906.16672461463702</v>
      </c>
      <c r="C111" s="9">
        <f t="shared" si="1"/>
        <v>47.575342465753423</v>
      </c>
      <c r="D111">
        <v>0</v>
      </c>
    </row>
    <row r="112" spans="1:4" x14ac:dyDescent="0.35">
      <c r="A112">
        <v>111</v>
      </c>
      <c r="B112" s="9">
        <v>906.16672461463702</v>
      </c>
      <c r="C112" s="9">
        <f t="shared" si="1"/>
        <v>47.575342465753423</v>
      </c>
      <c r="D112">
        <v>0</v>
      </c>
    </row>
    <row r="113" spans="1:4" x14ac:dyDescent="0.35">
      <c r="A113">
        <v>112</v>
      </c>
      <c r="B113" s="9">
        <v>906.16672461463702</v>
      </c>
      <c r="C113" s="9">
        <f t="shared" si="1"/>
        <v>47.575342465753423</v>
      </c>
      <c r="D113">
        <v>0</v>
      </c>
    </row>
    <row r="114" spans="1:4" x14ac:dyDescent="0.35">
      <c r="A114">
        <v>113</v>
      </c>
      <c r="B114" s="9">
        <v>906.16672461463702</v>
      </c>
      <c r="C114" s="9">
        <f t="shared" si="1"/>
        <v>47.575342465753423</v>
      </c>
      <c r="D114">
        <v>0</v>
      </c>
    </row>
    <row r="115" spans="1:4" x14ac:dyDescent="0.35">
      <c r="A115">
        <v>114</v>
      </c>
      <c r="B115" s="9">
        <v>906.16672461463702</v>
      </c>
      <c r="C115" s="9">
        <f t="shared" si="1"/>
        <v>47.575342465753423</v>
      </c>
      <c r="D115">
        <v>0</v>
      </c>
    </row>
    <row r="116" spans="1:4" x14ac:dyDescent="0.35">
      <c r="A116">
        <v>115</v>
      </c>
      <c r="B116" s="9">
        <v>906.16672461463702</v>
      </c>
      <c r="C116" s="9">
        <f t="shared" si="1"/>
        <v>47.575342465753423</v>
      </c>
      <c r="D116">
        <v>0</v>
      </c>
    </row>
    <row r="117" spans="1:4" x14ac:dyDescent="0.35">
      <c r="A117">
        <v>116</v>
      </c>
      <c r="B117" s="9">
        <v>906.16672461463702</v>
      </c>
      <c r="C117" s="9">
        <f t="shared" si="1"/>
        <v>47.575342465753423</v>
      </c>
      <c r="D117">
        <v>0</v>
      </c>
    </row>
    <row r="118" spans="1:4" x14ac:dyDescent="0.35">
      <c r="A118">
        <v>117</v>
      </c>
      <c r="B118" s="9">
        <v>906.16672461463702</v>
      </c>
      <c r="C118" s="9">
        <f t="shared" si="1"/>
        <v>47.575342465753423</v>
      </c>
      <c r="D118">
        <v>0</v>
      </c>
    </row>
    <row r="119" spans="1:4" x14ac:dyDescent="0.35">
      <c r="A119">
        <v>118</v>
      </c>
      <c r="B119" s="9">
        <v>906.16672461463702</v>
      </c>
      <c r="C119" s="9">
        <f t="shared" si="1"/>
        <v>47.575342465753423</v>
      </c>
      <c r="D119">
        <v>0</v>
      </c>
    </row>
    <row r="120" spans="1:4" x14ac:dyDescent="0.35">
      <c r="A120">
        <v>119</v>
      </c>
      <c r="B120" s="9">
        <v>906.16672461463702</v>
      </c>
      <c r="C120" s="9">
        <f t="shared" si="1"/>
        <v>47.575342465753423</v>
      </c>
      <c r="D120">
        <v>0</v>
      </c>
    </row>
    <row r="121" spans="1:4" x14ac:dyDescent="0.35">
      <c r="A121">
        <v>120</v>
      </c>
      <c r="B121" s="9">
        <v>906.16672461463702</v>
      </c>
      <c r="C121" s="9">
        <f t="shared" si="1"/>
        <v>47.575342465753423</v>
      </c>
      <c r="D121">
        <v>0</v>
      </c>
    </row>
    <row r="122" spans="1:4" x14ac:dyDescent="0.35">
      <c r="A122">
        <v>121</v>
      </c>
      <c r="B122" s="9">
        <v>906.16672461463702</v>
      </c>
      <c r="C122" s="9">
        <f t="shared" si="1"/>
        <v>47.575342465753423</v>
      </c>
      <c r="D122">
        <v>0</v>
      </c>
    </row>
    <row r="123" spans="1:4" x14ac:dyDescent="0.35">
      <c r="A123">
        <v>122</v>
      </c>
      <c r="B123" s="9">
        <v>906.16672461463702</v>
      </c>
      <c r="C123" s="9">
        <f t="shared" si="1"/>
        <v>47.575342465753423</v>
      </c>
      <c r="D123">
        <v>0</v>
      </c>
    </row>
    <row r="124" spans="1:4" x14ac:dyDescent="0.35">
      <c r="A124">
        <v>123</v>
      </c>
      <c r="B124" s="9">
        <v>906.16672461463702</v>
      </c>
      <c r="C124" s="9">
        <f t="shared" si="1"/>
        <v>47.575342465753423</v>
      </c>
      <c r="D124">
        <v>0</v>
      </c>
    </row>
    <row r="125" spans="1:4" x14ac:dyDescent="0.35">
      <c r="A125">
        <v>124</v>
      </c>
      <c r="B125" s="9">
        <v>906.16672461463702</v>
      </c>
      <c r="C125" s="9">
        <f t="shared" si="1"/>
        <v>47.575342465753423</v>
      </c>
      <c r="D125">
        <v>0</v>
      </c>
    </row>
    <row r="126" spans="1:4" x14ac:dyDescent="0.35">
      <c r="A126">
        <v>125</v>
      </c>
      <c r="B126" s="9">
        <v>906.16672461463702</v>
      </c>
      <c r="C126" s="9">
        <f t="shared" si="1"/>
        <v>47.575342465753423</v>
      </c>
      <c r="D126">
        <v>0</v>
      </c>
    </row>
    <row r="127" spans="1:4" x14ac:dyDescent="0.35">
      <c r="A127">
        <v>126</v>
      </c>
      <c r="B127" s="9">
        <v>906.16672461463702</v>
      </c>
      <c r="C127" s="9">
        <f t="shared" si="1"/>
        <v>47.575342465753423</v>
      </c>
      <c r="D127">
        <v>0</v>
      </c>
    </row>
    <row r="128" spans="1:4" x14ac:dyDescent="0.35">
      <c r="A128">
        <v>127</v>
      </c>
      <c r="B128" s="9">
        <v>906.16672461463702</v>
      </c>
      <c r="C128" s="9">
        <f t="shared" si="1"/>
        <v>47.575342465753423</v>
      </c>
      <c r="D128">
        <v>0</v>
      </c>
    </row>
    <row r="129" spans="1:4" x14ac:dyDescent="0.35">
      <c r="A129">
        <v>128</v>
      </c>
      <c r="B129" s="9">
        <v>906.16672461463702</v>
      </c>
      <c r="C129" s="9">
        <f t="shared" si="1"/>
        <v>47.575342465753423</v>
      </c>
      <c r="D129">
        <v>0</v>
      </c>
    </row>
    <row r="130" spans="1:4" x14ac:dyDescent="0.35">
      <c r="A130">
        <v>129</v>
      </c>
      <c r="B130" s="9">
        <v>906.16672461463702</v>
      </c>
      <c r="C130" s="9">
        <f t="shared" si="1"/>
        <v>47.575342465753423</v>
      </c>
      <c r="D130">
        <v>0</v>
      </c>
    </row>
    <row r="131" spans="1:4" x14ac:dyDescent="0.35">
      <c r="A131">
        <v>130</v>
      </c>
      <c r="B131" s="9">
        <v>906.16672461463702</v>
      </c>
      <c r="C131" s="9">
        <f t="shared" ref="C131:C194" si="2">17365/365</f>
        <v>47.575342465753423</v>
      </c>
      <c r="D131">
        <v>0</v>
      </c>
    </row>
    <row r="132" spans="1:4" x14ac:dyDescent="0.35">
      <c r="A132">
        <v>131</v>
      </c>
      <c r="B132" s="9">
        <v>906.16672461463702</v>
      </c>
      <c r="C132" s="9">
        <f t="shared" si="2"/>
        <v>47.575342465753423</v>
      </c>
      <c r="D132">
        <v>0</v>
      </c>
    </row>
    <row r="133" spans="1:4" x14ac:dyDescent="0.35">
      <c r="A133">
        <v>132</v>
      </c>
      <c r="B133" s="9">
        <v>906.16672461463702</v>
      </c>
      <c r="C133" s="9">
        <f t="shared" si="2"/>
        <v>47.575342465753423</v>
      </c>
      <c r="D133">
        <v>0</v>
      </c>
    </row>
    <row r="134" spans="1:4" x14ac:dyDescent="0.35">
      <c r="A134">
        <v>133</v>
      </c>
      <c r="B134" s="9">
        <v>906.16672461463702</v>
      </c>
      <c r="C134" s="9">
        <f t="shared" si="2"/>
        <v>47.575342465753423</v>
      </c>
      <c r="D134">
        <v>0</v>
      </c>
    </row>
    <row r="135" spans="1:4" x14ac:dyDescent="0.35">
      <c r="A135">
        <v>134</v>
      </c>
      <c r="B135" s="9">
        <v>906.16672461463702</v>
      </c>
      <c r="C135" s="9">
        <f t="shared" si="2"/>
        <v>47.575342465753423</v>
      </c>
      <c r="D135">
        <v>0</v>
      </c>
    </row>
    <row r="136" spans="1:4" x14ac:dyDescent="0.35">
      <c r="A136">
        <v>135</v>
      </c>
      <c r="B136" s="9">
        <v>906.16672461463702</v>
      </c>
      <c r="C136" s="9">
        <f t="shared" si="2"/>
        <v>47.575342465753423</v>
      </c>
      <c r="D136">
        <v>0</v>
      </c>
    </row>
    <row r="137" spans="1:4" x14ac:dyDescent="0.35">
      <c r="A137">
        <v>136</v>
      </c>
      <c r="B137" s="9">
        <v>906.16672461463702</v>
      </c>
      <c r="C137" s="9">
        <f t="shared" si="2"/>
        <v>47.575342465753423</v>
      </c>
      <c r="D137">
        <v>0</v>
      </c>
    </row>
    <row r="138" spans="1:4" x14ac:dyDescent="0.35">
      <c r="A138">
        <v>137</v>
      </c>
      <c r="B138" s="9">
        <v>906.16672461463702</v>
      </c>
      <c r="C138" s="9">
        <f t="shared" si="2"/>
        <v>47.575342465753423</v>
      </c>
      <c r="D138">
        <v>0</v>
      </c>
    </row>
    <row r="139" spans="1:4" x14ac:dyDescent="0.35">
      <c r="A139">
        <v>138</v>
      </c>
      <c r="B139" s="9">
        <v>906.16672461463702</v>
      </c>
      <c r="C139" s="9">
        <f t="shared" si="2"/>
        <v>47.575342465753423</v>
      </c>
      <c r="D139">
        <v>0</v>
      </c>
    </row>
    <row r="140" spans="1:4" x14ac:dyDescent="0.35">
      <c r="A140">
        <v>139</v>
      </c>
      <c r="B140" s="9">
        <v>906.16672461463702</v>
      </c>
      <c r="C140" s="9">
        <f t="shared" si="2"/>
        <v>47.575342465753423</v>
      </c>
      <c r="D140">
        <v>0</v>
      </c>
    </row>
    <row r="141" spans="1:4" x14ac:dyDescent="0.35">
      <c r="A141">
        <v>140</v>
      </c>
      <c r="B141" s="9">
        <v>906.16672461463702</v>
      </c>
      <c r="C141" s="9">
        <f t="shared" si="2"/>
        <v>47.575342465753423</v>
      </c>
      <c r="D141">
        <v>0</v>
      </c>
    </row>
    <row r="142" spans="1:4" x14ac:dyDescent="0.35">
      <c r="A142">
        <v>141</v>
      </c>
      <c r="B142" s="9">
        <v>906.16672461463702</v>
      </c>
      <c r="C142" s="9">
        <f t="shared" si="2"/>
        <v>47.575342465753423</v>
      </c>
      <c r="D142">
        <v>0</v>
      </c>
    </row>
    <row r="143" spans="1:4" x14ac:dyDescent="0.35">
      <c r="A143">
        <v>142</v>
      </c>
      <c r="B143" s="9">
        <v>906.16672461463702</v>
      </c>
      <c r="C143" s="9">
        <f t="shared" si="2"/>
        <v>47.575342465753423</v>
      </c>
      <c r="D143">
        <v>0</v>
      </c>
    </row>
    <row r="144" spans="1:4" x14ac:dyDescent="0.35">
      <c r="A144">
        <v>143</v>
      </c>
      <c r="B144" s="9">
        <v>906.16672461463702</v>
      </c>
      <c r="C144" s="9">
        <f t="shared" si="2"/>
        <v>47.575342465753423</v>
      </c>
      <c r="D144">
        <v>0</v>
      </c>
    </row>
    <row r="145" spans="1:4" x14ac:dyDescent="0.35">
      <c r="A145">
        <v>144</v>
      </c>
      <c r="B145" s="9">
        <v>906.16672461463702</v>
      </c>
      <c r="C145" s="9">
        <f t="shared" si="2"/>
        <v>47.575342465753423</v>
      </c>
      <c r="D145">
        <v>0</v>
      </c>
    </row>
    <row r="146" spans="1:4" x14ac:dyDescent="0.35">
      <c r="A146">
        <v>145</v>
      </c>
      <c r="B146" s="9">
        <v>906.16672461463702</v>
      </c>
      <c r="C146" s="9">
        <f t="shared" si="2"/>
        <v>47.575342465753423</v>
      </c>
      <c r="D146">
        <v>0</v>
      </c>
    </row>
    <row r="147" spans="1:4" x14ac:dyDescent="0.35">
      <c r="A147">
        <v>146</v>
      </c>
      <c r="B147" s="9">
        <v>906.16672461463702</v>
      </c>
      <c r="C147" s="9">
        <f t="shared" si="2"/>
        <v>47.575342465753423</v>
      </c>
      <c r="D147">
        <v>0</v>
      </c>
    </row>
    <row r="148" spans="1:4" x14ac:dyDescent="0.35">
      <c r="A148">
        <v>147</v>
      </c>
      <c r="B148" s="9">
        <v>906.16672461463702</v>
      </c>
      <c r="C148" s="9">
        <f t="shared" si="2"/>
        <v>47.575342465753423</v>
      </c>
      <c r="D148">
        <v>0</v>
      </c>
    </row>
    <row r="149" spans="1:4" x14ac:dyDescent="0.35">
      <c r="A149">
        <v>148</v>
      </c>
      <c r="B149" s="9">
        <v>906.16672461463702</v>
      </c>
      <c r="C149" s="9">
        <f t="shared" si="2"/>
        <v>47.575342465753423</v>
      </c>
      <c r="D149">
        <v>0</v>
      </c>
    </row>
    <row r="150" spans="1:4" x14ac:dyDescent="0.35">
      <c r="A150">
        <v>149</v>
      </c>
      <c r="B150" s="9">
        <v>906.16672461463702</v>
      </c>
      <c r="C150" s="9">
        <f t="shared" si="2"/>
        <v>47.575342465753423</v>
      </c>
      <c r="D150">
        <v>0</v>
      </c>
    </row>
    <row r="151" spans="1:4" x14ac:dyDescent="0.35">
      <c r="A151">
        <v>150</v>
      </c>
      <c r="B151" s="9">
        <v>906.16672461463702</v>
      </c>
      <c r="C151" s="9">
        <f t="shared" si="2"/>
        <v>47.575342465753423</v>
      </c>
      <c r="D151">
        <v>0</v>
      </c>
    </row>
    <row r="152" spans="1:4" x14ac:dyDescent="0.35">
      <c r="A152">
        <v>151</v>
      </c>
      <c r="B152" s="9">
        <v>906.16672461463702</v>
      </c>
      <c r="C152" s="9">
        <f t="shared" si="2"/>
        <v>47.575342465753423</v>
      </c>
      <c r="D152">
        <v>0</v>
      </c>
    </row>
    <row r="153" spans="1:4" x14ac:dyDescent="0.35">
      <c r="A153">
        <v>152</v>
      </c>
      <c r="B153" s="9">
        <v>906.16672461463702</v>
      </c>
      <c r="C153" s="9">
        <f t="shared" si="2"/>
        <v>47.575342465753423</v>
      </c>
      <c r="D153">
        <v>0</v>
      </c>
    </row>
    <row r="154" spans="1:4" x14ac:dyDescent="0.35">
      <c r="A154">
        <v>153</v>
      </c>
      <c r="B154" s="9">
        <v>906.16672461463702</v>
      </c>
      <c r="C154" s="9">
        <f t="shared" si="2"/>
        <v>47.575342465753423</v>
      </c>
      <c r="D154">
        <v>0</v>
      </c>
    </row>
    <row r="155" spans="1:4" x14ac:dyDescent="0.35">
      <c r="A155">
        <v>154</v>
      </c>
      <c r="B155" s="9">
        <v>906.16672461463702</v>
      </c>
      <c r="C155" s="9">
        <f t="shared" si="2"/>
        <v>47.575342465753423</v>
      </c>
      <c r="D155">
        <v>0</v>
      </c>
    </row>
    <row r="156" spans="1:4" x14ac:dyDescent="0.35">
      <c r="A156">
        <v>155</v>
      </c>
      <c r="B156" s="9">
        <v>906.16672461463702</v>
      </c>
      <c r="C156" s="9">
        <f t="shared" si="2"/>
        <v>47.575342465753423</v>
      </c>
      <c r="D156">
        <v>0</v>
      </c>
    </row>
    <row r="157" spans="1:4" x14ac:dyDescent="0.35">
      <c r="A157">
        <v>156</v>
      </c>
      <c r="B157" s="9">
        <v>906.16672461463702</v>
      </c>
      <c r="C157" s="9">
        <f t="shared" si="2"/>
        <v>47.575342465753423</v>
      </c>
      <c r="D157">
        <v>0</v>
      </c>
    </row>
    <row r="158" spans="1:4" x14ac:dyDescent="0.35">
      <c r="A158">
        <v>157</v>
      </c>
      <c r="B158" s="9">
        <v>906.16672461463702</v>
      </c>
      <c r="C158" s="9">
        <f t="shared" si="2"/>
        <v>47.575342465753423</v>
      </c>
      <c r="D158">
        <v>0</v>
      </c>
    </row>
    <row r="159" spans="1:4" x14ac:dyDescent="0.35">
      <c r="A159">
        <v>158</v>
      </c>
      <c r="B159" s="9">
        <v>906.16672461463702</v>
      </c>
      <c r="C159" s="9">
        <f t="shared" si="2"/>
        <v>47.575342465753423</v>
      </c>
      <c r="D159">
        <v>0</v>
      </c>
    </row>
    <row r="160" spans="1:4" x14ac:dyDescent="0.35">
      <c r="A160">
        <v>159</v>
      </c>
      <c r="B160" s="9">
        <v>906.16672461463702</v>
      </c>
      <c r="C160" s="9">
        <f t="shared" si="2"/>
        <v>47.575342465753423</v>
      </c>
      <c r="D160">
        <v>0</v>
      </c>
    </row>
    <row r="161" spans="1:4" x14ac:dyDescent="0.35">
      <c r="A161">
        <v>160</v>
      </c>
      <c r="B161" s="9">
        <v>906.16672461463702</v>
      </c>
      <c r="C161" s="9">
        <f t="shared" si="2"/>
        <v>47.575342465753423</v>
      </c>
      <c r="D161">
        <v>0</v>
      </c>
    </row>
    <row r="162" spans="1:4" x14ac:dyDescent="0.35">
      <c r="A162">
        <v>161</v>
      </c>
      <c r="B162" s="9">
        <v>906.16672461463702</v>
      </c>
      <c r="C162" s="9">
        <f t="shared" si="2"/>
        <v>47.575342465753423</v>
      </c>
      <c r="D162">
        <v>0</v>
      </c>
    </row>
    <row r="163" spans="1:4" x14ac:dyDescent="0.35">
      <c r="A163">
        <v>162</v>
      </c>
      <c r="B163" s="9">
        <v>906.16672461463702</v>
      </c>
      <c r="C163" s="9">
        <f t="shared" si="2"/>
        <v>47.575342465753423</v>
      </c>
      <c r="D163">
        <v>0</v>
      </c>
    </row>
    <row r="164" spans="1:4" x14ac:dyDescent="0.35">
      <c r="A164">
        <v>163</v>
      </c>
      <c r="B164" s="9">
        <v>906.16672461463702</v>
      </c>
      <c r="C164" s="9">
        <f t="shared" si="2"/>
        <v>47.575342465753423</v>
      </c>
      <c r="D164">
        <v>0</v>
      </c>
    </row>
    <row r="165" spans="1:4" x14ac:dyDescent="0.35">
      <c r="A165">
        <v>164</v>
      </c>
      <c r="B165" s="9">
        <v>906.16672461463702</v>
      </c>
      <c r="C165" s="9">
        <f t="shared" si="2"/>
        <v>47.575342465753423</v>
      </c>
      <c r="D165">
        <v>0</v>
      </c>
    </row>
    <row r="166" spans="1:4" x14ac:dyDescent="0.35">
      <c r="A166">
        <v>165</v>
      </c>
      <c r="B166" s="9">
        <v>906.16672461463702</v>
      </c>
      <c r="C166" s="9">
        <f t="shared" si="2"/>
        <v>47.575342465753423</v>
      </c>
      <c r="D166">
        <v>0</v>
      </c>
    </row>
    <row r="167" spans="1:4" x14ac:dyDescent="0.35">
      <c r="A167">
        <v>166</v>
      </c>
      <c r="B167" s="9">
        <v>906.16672461463702</v>
      </c>
      <c r="C167" s="9">
        <f t="shared" si="2"/>
        <v>47.575342465753423</v>
      </c>
      <c r="D167">
        <v>0</v>
      </c>
    </row>
    <row r="168" spans="1:4" x14ac:dyDescent="0.35">
      <c r="A168">
        <v>167</v>
      </c>
      <c r="B168" s="9">
        <v>906.16672461463702</v>
      </c>
      <c r="C168" s="9">
        <f t="shared" si="2"/>
        <v>47.575342465753423</v>
      </c>
      <c r="D168">
        <v>0</v>
      </c>
    </row>
    <row r="169" spans="1:4" x14ac:dyDescent="0.35">
      <c r="A169">
        <v>168</v>
      </c>
      <c r="B169" s="9">
        <v>906.16672461463702</v>
      </c>
      <c r="C169" s="9">
        <f t="shared" si="2"/>
        <v>47.575342465753423</v>
      </c>
      <c r="D169">
        <v>0</v>
      </c>
    </row>
    <row r="170" spans="1:4" x14ac:dyDescent="0.35">
      <c r="A170">
        <v>169</v>
      </c>
      <c r="B170" s="9">
        <v>906.16672461463702</v>
      </c>
      <c r="C170" s="9">
        <f t="shared" si="2"/>
        <v>47.575342465753423</v>
      </c>
      <c r="D170">
        <v>0</v>
      </c>
    </row>
    <row r="171" spans="1:4" x14ac:dyDescent="0.35">
      <c r="A171">
        <v>170</v>
      </c>
      <c r="B171" s="9">
        <v>906.16672461463702</v>
      </c>
      <c r="C171" s="9">
        <f t="shared" si="2"/>
        <v>47.575342465753423</v>
      </c>
      <c r="D171">
        <v>0</v>
      </c>
    </row>
    <row r="172" spans="1:4" x14ac:dyDescent="0.35">
      <c r="A172">
        <v>171</v>
      </c>
      <c r="B172" s="9">
        <v>906.16672461463702</v>
      </c>
      <c r="C172" s="9">
        <f t="shared" si="2"/>
        <v>47.575342465753423</v>
      </c>
      <c r="D172">
        <v>0</v>
      </c>
    </row>
    <row r="173" spans="1:4" x14ac:dyDescent="0.35">
      <c r="A173">
        <v>172</v>
      </c>
      <c r="B173" s="9">
        <v>906.16672461463702</v>
      </c>
      <c r="C173" s="9">
        <f t="shared" si="2"/>
        <v>47.575342465753423</v>
      </c>
      <c r="D173">
        <v>0</v>
      </c>
    </row>
    <row r="174" spans="1:4" x14ac:dyDescent="0.35">
      <c r="A174">
        <v>173</v>
      </c>
      <c r="B174" s="9">
        <v>906.16672461463702</v>
      </c>
      <c r="C174" s="9">
        <f t="shared" si="2"/>
        <v>47.575342465753423</v>
      </c>
      <c r="D174">
        <v>0</v>
      </c>
    </row>
    <row r="175" spans="1:4" x14ac:dyDescent="0.35">
      <c r="A175">
        <v>174</v>
      </c>
      <c r="B175" s="9">
        <v>906.16672461463702</v>
      </c>
      <c r="C175" s="9">
        <f t="shared" si="2"/>
        <v>47.575342465753423</v>
      </c>
      <c r="D175">
        <v>0</v>
      </c>
    </row>
    <row r="176" spans="1:4" x14ac:dyDescent="0.35">
      <c r="A176">
        <v>175</v>
      </c>
      <c r="B176" s="9">
        <v>906.16672461463702</v>
      </c>
      <c r="C176" s="9">
        <f t="shared" si="2"/>
        <v>47.575342465753423</v>
      </c>
      <c r="D176">
        <v>0</v>
      </c>
    </row>
    <row r="177" spans="1:4" x14ac:dyDescent="0.35">
      <c r="A177">
        <v>176</v>
      </c>
      <c r="B177" s="9">
        <v>906.16672461463702</v>
      </c>
      <c r="C177" s="9">
        <f t="shared" si="2"/>
        <v>47.575342465753423</v>
      </c>
      <c r="D177">
        <v>0</v>
      </c>
    </row>
    <row r="178" spans="1:4" x14ac:dyDescent="0.35">
      <c r="A178">
        <v>177</v>
      </c>
      <c r="B178" s="9">
        <v>906.16672461463702</v>
      </c>
      <c r="C178" s="9">
        <f t="shared" si="2"/>
        <v>47.575342465753423</v>
      </c>
      <c r="D178">
        <v>0</v>
      </c>
    </row>
    <row r="179" spans="1:4" x14ac:dyDescent="0.35">
      <c r="A179">
        <v>178</v>
      </c>
      <c r="B179" s="9">
        <v>906.16672461463702</v>
      </c>
      <c r="C179" s="9">
        <f t="shared" si="2"/>
        <v>47.575342465753423</v>
      </c>
      <c r="D179">
        <v>0</v>
      </c>
    </row>
    <row r="180" spans="1:4" x14ac:dyDescent="0.35">
      <c r="A180">
        <v>179</v>
      </c>
      <c r="B180" s="9">
        <v>906.16672461463702</v>
      </c>
      <c r="C180" s="9">
        <f t="shared" si="2"/>
        <v>47.575342465753423</v>
      </c>
      <c r="D180">
        <v>0</v>
      </c>
    </row>
    <row r="181" spans="1:4" x14ac:dyDescent="0.35">
      <c r="A181">
        <v>180</v>
      </c>
      <c r="B181" s="9">
        <v>906.16672461463702</v>
      </c>
      <c r="C181" s="9">
        <f t="shared" si="2"/>
        <v>47.575342465753423</v>
      </c>
      <c r="D181">
        <v>0</v>
      </c>
    </row>
    <row r="182" spans="1:4" x14ac:dyDescent="0.35">
      <c r="A182">
        <v>181</v>
      </c>
      <c r="B182" s="9">
        <v>906.16672461463702</v>
      </c>
      <c r="C182" s="9">
        <f t="shared" si="2"/>
        <v>47.575342465753423</v>
      </c>
      <c r="D182">
        <v>0</v>
      </c>
    </row>
    <row r="183" spans="1:4" x14ac:dyDescent="0.35">
      <c r="A183">
        <v>182</v>
      </c>
      <c r="B183" s="9">
        <v>906.16672461463702</v>
      </c>
      <c r="C183" s="9">
        <f t="shared" si="2"/>
        <v>47.575342465753423</v>
      </c>
      <c r="D183">
        <v>0</v>
      </c>
    </row>
    <row r="184" spans="1:4" x14ac:dyDescent="0.35">
      <c r="A184">
        <v>183</v>
      </c>
      <c r="B184" s="9">
        <v>906.16672461463702</v>
      </c>
      <c r="C184" s="9">
        <f t="shared" si="2"/>
        <v>47.575342465753423</v>
      </c>
      <c r="D184">
        <v>0</v>
      </c>
    </row>
    <row r="185" spans="1:4" x14ac:dyDescent="0.35">
      <c r="A185">
        <v>184</v>
      </c>
      <c r="B185" s="9">
        <v>906.16672461463702</v>
      </c>
      <c r="C185" s="9">
        <f t="shared" si="2"/>
        <v>47.575342465753423</v>
      </c>
      <c r="D185">
        <v>0</v>
      </c>
    </row>
    <row r="186" spans="1:4" x14ac:dyDescent="0.35">
      <c r="A186">
        <v>185</v>
      </c>
      <c r="B186" s="9">
        <v>906.16672461463702</v>
      </c>
      <c r="C186" s="9">
        <f t="shared" si="2"/>
        <v>47.575342465753423</v>
      </c>
      <c r="D186">
        <v>0</v>
      </c>
    </row>
    <row r="187" spans="1:4" x14ac:dyDescent="0.35">
      <c r="A187">
        <v>186</v>
      </c>
      <c r="B187" s="9">
        <v>906.16672461463702</v>
      </c>
      <c r="C187" s="9">
        <f t="shared" si="2"/>
        <v>47.575342465753423</v>
      </c>
      <c r="D187">
        <v>0</v>
      </c>
    </row>
    <row r="188" spans="1:4" x14ac:dyDescent="0.35">
      <c r="A188">
        <v>187</v>
      </c>
      <c r="B188" s="9">
        <v>906.16672461463702</v>
      </c>
      <c r="C188" s="9">
        <f t="shared" si="2"/>
        <v>47.575342465753423</v>
      </c>
      <c r="D188">
        <v>0</v>
      </c>
    </row>
    <row r="189" spans="1:4" x14ac:dyDescent="0.35">
      <c r="A189">
        <v>188</v>
      </c>
      <c r="B189" s="9">
        <v>906.16672461463702</v>
      </c>
      <c r="C189" s="9">
        <f t="shared" si="2"/>
        <v>47.575342465753423</v>
      </c>
      <c r="D189">
        <v>0</v>
      </c>
    </row>
    <row r="190" spans="1:4" x14ac:dyDescent="0.35">
      <c r="A190">
        <v>189</v>
      </c>
      <c r="B190" s="9">
        <v>906.16672461463702</v>
      </c>
      <c r="C190" s="9">
        <f t="shared" si="2"/>
        <v>47.575342465753423</v>
      </c>
      <c r="D190">
        <v>0</v>
      </c>
    </row>
    <row r="191" spans="1:4" x14ac:dyDescent="0.35">
      <c r="A191">
        <v>190</v>
      </c>
      <c r="B191" s="9">
        <v>906.16672461463702</v>
      </c>
      <c r="C191" s="9">
        <f t="shared" si="2"/>
        <v>47.575342465753423</v>
      </c>
      <c r="D191">
        <v>0</v>
      </c>
    </row>
    <row r="192" spans="1:4" x14ac:dyDescent="0.35">
      <c r="A192">
        <v>191</v>
      </c>
      <c r="B192" s="9">
        <v>906.16672461463702</v>
      </c>
      <c r="C192" s="9">
        <f t="shared" si="2"/>
        <v>47.575342465753423</v>
      </c>
      <c r="D192">
        <v>0</v>
      </c>
    </row>
    <row r="193" spans="1:4" x14ac:dyDescent="0.35">
      <c r="A193">
        <v>192</v>
      </c>
      <c r="B193" s="9">
        <v>906.16672461463702</v>
      </c>
      <c r="C193" s="9">
        <f t="shared" si="2"/>
        <v>47.575342465753423</v>
      </c>
      <c r="D193">
        <v>0</v>
      </c>
    </row>
    <row r="194" spans="1:4" x14ac:dyDescent="0.35">
      <c r="A194">
        <v>193</v>
      </c>
      <c r="B194" s="9">
        <v>906.16672461463702</v>
      </c>
      <c r="C194" s="9">
        <f t="shared" si="2"/>
        <v>47.575342465753423</v>
      </c>
      <c r="D194">
        <v>0</v>
      </c>
    </row>
    <row r="195" spans="1:4" x14ac:dyDescent="0.35">
      <c r="A195">
        <v>194</v>
      </c>
      <c r="B195" s="9">
        <v>906.16672461463702</v>
      </c>
      <c r="C195" s="9">
        <f t="shared" ref="C195:C258" si="3">17365/365</f>
        <v>47.575342465753423</v>
      </c>
      <c r="D195">
        <v>0</v>
      </c>
    </row>
    <row r="196" spans="1:4" x14ac:dyDescent="0.35">
      <c r="A196">
        <v>195</v>
      </c>
      <c r="B196" s="9">
        <v>906.16672461463702</v>
      </c>
      <c r="C196" s="9">
        <f t="shared" si="3"/>
        <v>47.575342465753423</v>
      </c>
      <c r="D196">
        <v>0</v>
      </c>
    </row>
    <row r="197" spans="1:4" x14ac:dyDescent="0.35">
      <c r="A197">
        <v>196</v>
      </c>
      <c r="B197" s="9">
        <v>906.16672461463702</v>
      </c>
      <c r="C197" s="9">
        <f t="shared" si="3"/>
        <v>47.575342465753423</v>
      </c>
      <c r="D197">
        <v>0</v>
      </c>
    </row>
    <row r="198" spans="1:4" x14ac:dyDescent="0.35">
      <c r="A198">
        <v>197</v>
      </c>
      <c r="B198" s="9">
        <v>906.16672461463702</v>
      </c>
      <c r="C198" s="9">
        <f t="shared" si="3"/>
        <v>47.575342465753423</v>
      </c>
      <c r="D198">
        <v>0</v>
      </c>
    </row>
    <row r="199" spans="1:4" x14ac:dyDescent="0.35">
      <c r="A199">
        <v>198</v>
      </c>
      <c r="B199" s="9">
        <v>906.16672461463702</v>
      </c>
      <c r="C199" s="9">
        <f t="shared" si="3"/>
        <v>47.575342465753423</v>
      </c>
      <c r="D199">
        <v>0</v>
      </c>
    </row>
    <row r="200" spans="1:4" x14ac:dyDescent="0.35">
      <c r="A200">
        <v>199</v>
      </c>
      <c r="B200" s="9">
        <v>906.16672461463702</v>
      </c>
      <c r="C200" s="9">
        <f t="shared" si="3"/>
        <v>47.575342465753423</v>
      </c>
      <c r="D200">
        <v>0</v>
      </c>
    </row>
    <row r="201" spans="1:4" x14ac:dyDescent="0.35">
      <c r="A201">
        <v>200</v>
      </c>
      <c r="B201" s="9">
        <v>906.16672461463702</v>
      </c>
      <c r="C201" s="9">
        <f t="shared" si="3"/>
        <v>47.575342465753423</v>
      </c>
      <c r="D201">
        <v>0</v>
      </c>
    </row>
    <row r="202" spans="1:4" x14ac:dyDescent="0.35">
      <c r="A202">
        <v>201</v>
      </c>
      <c r="B202" s="9">
        <v>906.16672461463702</v>
      </c>
      <c r="C202" s="9">
        <f t="shared" si="3"/>
        <v>47.575342465753423</v>
      </c>
      <c r="D202">
        <v>0</v>
      </c>
    </row>
    <row r="203" spans="1:4" x14ac:dyDescent="0.35">
      <c r="A203">
        <v>202</v>
      </c>
      <c r="B203" s="9">
        <v>906.16672461463702</v>
      </c>
      <c r="C203" s="9">
        <f t="shared" si="3"/>
        <v>47.575342465753423</v>
      </c>
      <c r="D203">
        <v>0</v>
      </c>
    </row>
    <row r="204" spans="1:4" x14ac:dyDescent="0.35">
      <c r="A204">
        <v>203</v>
      </c>
      <c r="B204" s="9">
        <v>906.16672461463702</v>
      </c>
      <c r="C204" s="9">
        <f t="shared" si="3"/>
        <v>47.575342465753423</v>
      </c>
      <c r="D204">
        <v>0</v>
      </c>
    </row>
    <row r="205" spans="1:4" x14ac:dyDescent="0.35">
      <c r="A205">
        <v>204</v>
      </c>
      <c r="B205" s="9">
        <v>906.16672461463702</v>
      </c>
      <c r="C205" s="9">
        <f t="shared" si="3"/>
        <v>47.575342465753423</v>
      </c>
      <c r="D205">
        <v>0</v>
      </c>
    </row>
    <row r="206" spans="1:4" x14ac:dyDescent="0.35">
      <c r="A206">
        <v>205</v>
      </c>
      <c r="B206" s="9">
        <v>906.16672461463702</v>
      </c>
      <c r="C206" s="9">
        <f t="shared" si="3"/>
        <v>47.575342465753423</v>
      </c>
      <c r="D206">
        <v>0</v>
      </c>
    </row>
    <row r="207" spans="1:4" x14ac:dyDescent="0.35">
      <c r="A207">
        <v>206</v>
      </c>
      <c r="B207" s="9">
        <v>906.16672461463702</v>
      </c>
      <c r="C207" s="9">
        <f t="shared" si="3"/>
        <v>47.575342465753423</v>
      </c>
      <c r="D207">
        <v>0</v>
      </c>
    </row>
    <row r="208" spans="1:4" x14ac:dyDescent="0.35">
      <c r="A208">
        <v>207</v>
      </c>
      <c r="B208" s="9">
        <v>906.16672461463702</v>
      </c>
      <c r="C208" s="9">
        <f t="shared" si="3"/>
        <v>47.575342465753423</v>
      </c>
      <c r="D208">
        <v>0</v>
      </c>
    </row>
    <row r="209" spans="1:4" x14ac:dyDescent="0.35">
      <c r="A209">
        <v>208</v>
      </c>
      <c r="B209" s="9">
        <v>906.16672461463702</v>
      </c>
      <c r="C209" s="9">
        <f t="shared" si="3"/>
        <v>47.575342465753423</v>
      </c>
      <c r="D209">
        <v>0</v>
      </c>
    </row>
    <row r="210" spans="1:4" x14ac:dyDescent="0.35">
      <c r="A210">
        <v>209</v>
      </c>
      <c r="B210" s="9">
        <v>906.16672461463702</v>
      </c>
      <c r="C210" s="9">
        <f t="shared" si="3"/>
        <v>47.575342465753423</v>
      </c>
      <c r="D210">
        <v>0</v>
      </c>
    </row>
    <row r="211" spans="1:4" x14ac:dyDescent="0.35">
      <c r="A211">
        <v>210</v>
      </c>
      <c r="B211" s="9">
        <v>906.16672461463702</v>
      </c>
      <c r="C211" s="9">
        <f t="shared" si="3"/>
        <v>47.575342465753423</v>
      </c>
      <c r="D211">
        <v>0</v>
      </c>
    </row>
    <row r="212" spans="1:4" x14ac:dyDescent="0.35">
      <c r="A212">
        <v>211</v>
      </c>
      <c r="B212" s="9">
        <v>906.16672461463702</v>
      </c>
      <c r="C212" s="9">
        <f t="shared" si="3"/>
        <v>47.575342465753423</v>
      </c>
      <c r="D212">
        <v>0</v>
      </c>
    </row>
    <row r="213" spans="1:4" x14ac:dyDescent="0.35">
      <c r="A213">
        <v>212</v>
      </c>
      <c r="B213" s="9">
        <v>906.16672461463702</v>
      </c>
      <c r="C213" s="9">
        <f t="shared" si="3"/>
        <v>47.575342465753423</v>
      </c>
      <c r="D213">
        <v>0</v>
      </c>
    </row>
    <row r="214" spans="1:4" x14ac:dyDescent="0.35">
      <c r="A214">
        <v>213</v>
      </c>
      <c r="B214" s="9">
        <v>906.16672461463702</v>
      </c>
      <c r="C214" s="9">
        <f t="shared" si="3"/>
        <v>47.575342465753423</v>
      </c>
      <c r="D214">
        <v>0</v>
      </c>
    </row>
    <row r="215" spans="1:4" x14ac:dyDescent="0.35">
      <c r="A215">
        <v>214</v>
      </c>
      <c r="B215" s="9">
        <v>906.16672461463702</v>
      </c>
      <c r="C215" s="9">
        <f t="shared" si="3"/>
        <v>47.575342465753423</v>
      </c>
      <c r="D215">
        <v>0</v>
      </c>
    </row>
    <row r="216" spans="1:4" x14ac:dyDescent="0.35">
      <c r="A216">
        <v>215</v>
      </c>
      <c r="B216" s="9">
        <v>906.16672461463702</v>
      </c>
      <c r="C216" s="9">
        <f t="shared" si="3"/>
        <v>47.575342465753423</v>
      </c>
      <c r="D216">
        <v>0</v>
      </c>
    </row>
    <row r="217" spans="1:4" x14ac:dyDescent="0.35">
      <c r="A217">
        <v>216</v>
      </c>
      <c r="B217" s="9">
        <v>906.16672461463702</v>
      </c>
      <c r="C217" s="9">
        <f t="shared" si="3"/>
        <v>47.575342465753423</v>
      </c>
      <c r="D217">
        <v>0</v>
      </c>
    </row>
    <row r="218" spans="1:4" x14ac:dyDescent="0.35">
      <c r="A218">
        <v>217</v>
      </c>
      <c r="B218" s="9">
        <v>906.16672461463702</v>
      </c>
      <c r="C218" s="9">
        <f t="shared" si="3"/>
        <v>47.575342465753423</v>
      </c>
      <c r="D218">
        <v>0</v>
      </c>
    </row>
    <row r="219" spans="1:4" x14ac:dyDescent="0.35">
      <c r="A219">
        <v>218</v>
      </c>
      <c r="B219" s="9">
        <v>906.16672461463702</v>
      </c>
      <c r="C219" s="9">
        <f t="shared" si="3"/>
        <v>47.575342465753423</v>
      </c>
      <c r="D219">
        <v>0</v>
      </c>
    </row>
    <row r="220" spans="1:4" x14ac:dyDescent="0.35">
      <c r="A220">
        <v>219</v>
      </c>
      <c r="B220" s="9">
        <v>906.16672461463702</v>
      </c>
      <c r="C220" s="9">
        <f t="shared" si="3"/>
        <v>47.575342465753423</v>
      </c>
      <c r="D220">
        <v>0</v>
      </c>
    </row>
    <row r="221" spans="1:4" x14ac:dyDescent="0.35">
      <c r="A221">
        <v>220</v>
      </c>
      <c r="B221" s="9">
        <v>906.16672461463702</v>
      </c>
      <c r="C221" s="9">
        <f t="shared" si="3"/>
        <v>47.575342465753423</v>
      </c>
      <c r="D221">
        <v>0</v>
      </c>
    </row>
    <row r="222" spans="1:4" x14ac:dyDescent="0.35">
      <c r="A222">
        <v>221</v>
      </c>
      <c r="B222" s="9">
        <v>906.16672461463702</v>
      </c>
      <c r="C222" s="9">
        <f t="shared" si="3"/>
        <v>47.575342465753423</v>
      </c>
      <c r="D222">
        <v>0</v>
      </c>
    </row>
    <row r="223" spans="1:4" x14ac:dyDescent="0.35">
      <c r="A223">
        <v>222</v>
      </c>
      <c r="B223" s="9">
        <v>906.16672461463702</v>
      </c>
      <c r="C223" s="9">
        <f t="shared" si="3"/>
        <v>47.575342465753423</v>
      </c>
      <c r="D223">
        <v>0</v>
      </c>
    </row>
    <row r="224" spans="1:4" x14ac:dyDescent="0.35">
      <c r="A224">
        <v>223</v>
      </c>
      <c r="B224" s="9">
        <v>906.16672461463702</v>
      </c>
      <c r="C224" s="9">
        <f t="shared" si="3"/>
        <v>47.575342465753423</v>
      </c>
      <c r="D224">
        <v>0</v>
      </c>
    </row>
    <row r="225" spans="1:4" x14ac:dyDescent="0.35">
      <c r="A225">
        <v>224</v>
      </c>
      <c r="B225" s="9">
        <v>906.16672461463702</v>
      </c>
      <c r="C225" s="9">
        <f t="shared" si="3"/>
        <v>47.575342465753423</v>
      </c>
      <c r="D225">
        <v>0</v>
      </c>
    </row>
    <row r="226" spans="1:4" x14ac:dyDescent="0.35">
      <c r="A226">
        <v>225</v>
      </c>
      <c r="B226" s="9">
        <v>906.16672461463702</v>
      </c>
      <c r="C226" s="9">
        <f t="shared" si="3"/>
        <v>47.575342465753423</v>
      </c>
      <c r="D226">
        <v>0</v>
      </c>
    </row>
    <row r="227" spans="1:4" x14ac:dyDescent="0.35">
      <c r="A227">
        <v>226</v>
      </c>
      <c r="B227" s="9">
        <v>906.16672461463702</v>
      </c>
      <c r="C227" s="9">
        <f t="shared" si="3"/>
        <v>47.575342465753423</v>
      </c>
      <c r="D227">
        <v>0</v>
      </c>
    </row>
    <row r="228" spans="1:4" x14ac:dyDescent="0.35">
      <c r="A228">
        <v>227</v>
      </c>
      <c r="B228" s="9">
        <v>906.16672461463702</v>
      </c>
      <c r="C228" s="9">
        <f t="shared" si="3"/>
        <v>47.575342465753423</v>
      </c>
      <c r="D228">
        <v>0</v>
      </c>
    </row>
    <row r="229" spans="1:4" x14ac:dyDescent="0.35">
      <c r="A229">
        <v>228</v>
      </c>
      <c r="B229" s="9">
        <v>906.16672461463702</v>
      </c>
      <c r="C229" s="9">
        <f t="shared" si="3"/>
        <v>47.575342465753423</v>
      </c>
      <c r="D229">
        <v>0</v>
      </c>
    </row>
    <row r="230" spans="1:4" x14ac:dyDescent="0.35">
      <c r="A230">
        <v>229</v>
      </c>
      <c r="B230" s="9">
        <v>906.16672461463702</v>
      </c>
      <c r="C230" s="9">
        <f t="shared" si="3"/>
        <v>47.575342465753423</v>
      </c>
      <c r="D230">
        <v>0</v>
      </c>
    </row>
    <row r="231" spans="1:4" x14ac:dyDescent="0.35">
      <c r="A231">
        <v>230</v>
      </c>
      <c r="B231" s="9">
        <v>906.16672461463702</v>
      </c>
      <c r="C231" s="9">
        <f t="shared" si="3"/>
        <v>47.575342465753423</v>
      </c>
      <c r="D231">
        <v>0</v>
      </c>
    </row>
    <row r="232" spans="1:4" x14ac:dyDescent="0.35">
      <c r="A232">
        <v>231</v>
      </c>
      <c r="B232" s="9">
        <v>906.16672461463702</v>
      </c>
      <c r="C232" s="9">
        <f t="shared" si="3"/>
        <v>47.575342465753423</v>
      </c>
      <c r="D232">
        <v>0</v>
      </c>
    </row>
    <row r="233" spans="1:4" x14ac:dyDescent="0.35">
      <c r="A233">
        <v>232</v>
      </c>
      <c r="B233" s="9">
        <v>906.16672461463702</v>
      </c>
      <c r="C233" s="9">
        <f t="shared" si="3"/>
        <v>47.575342465753423</v>
      </c>
      <c r="D233">
        <v>0</v>
      </c>
    </row>
    <row r="234" spans="1:4" x14ac:dyDescent="0.35">
      <c r="A234">
        <v>233</v>
      </c>
      <c r="B234" s="9">
        <v>906.16672461463702</v>
      </c>
      <c r="C234" s="9">
        <f t="shared" si="3"/>
        <v>47.575342465753423</v>
      </c>
      <c r="D234">
        <v>0</v>
      </c>
    </row>
    <row r="235" spans="1:4" x14ac:dyDescent="0.35">
      <c r="A235">
        <v>234</v>
      </c>
      <c r="B235" s="9">
        <v>906.16672461463702</v>
      </c>
      <c r="C235" s="9">
        <f t="shared" si="3"/>
        <v>47.575342465753423</v>
      </c>
      <c r="D235">
        <v>0</v>
      </c>
    </row>
    <row r="236" spans="1:4" x14ac:dyDescent="0.35">
      <c r="A236">
        <v>235</v>
      </c>
      <c r="B236" s="9">
        <v>906.16672461463702</v>
      </c>
      <c r="C236" s="9">
        <f t="shared" si="3"/>
        <v>47.575342465753423</v>
      </c>
      <c r="D236">
        <v>0</v>
      </c>
    </row>
    <row r="237" spans="1:4" x14ac:dyDescent="0.35">
      <c r="A237">
        <v>236</v>
      </c>
      <c r="B237" s="9">
        <v>906.16672461463702</v>
      </c>
      <c r="C237" s="9">
        <f t="shared" si="3"/>
        <v>47.575342465753423</v>
      </c>
      <c r="D237">
        <v>0</v>
      </c>
    </row>
    <row r="238" spans="1:4" x14ac:dyDescent="0.35">
      <c r="A238">
        <v>237</v>
      </c>
      <c r="B238" s="9">
        <v>906.16672461463702</v>
      </c>
      <c r="C238" s="9">
        <f t="shared" si="3"/>
        <v>47.575342465753423</v>
      </c>
      <c r="D238">
        <v>0</v>
      </c>
    </row>
    <row r="239" spans="1:4" x14ac:dyDescent="0.35">
      <c r="A239">
        <v>238</v>
      </c>
      <c r="B239" s="9">
        <v>906.16672461463702</v>
      </c>
      <c r="C239" s="9">
        <f t="shared" si="3"/>
        <v>47.575342465753423</v>
      </c>
      <c r="D239">
        <v>0</v>
      </c>
    </row>
    <row r="240" spans="1:4" x14ac:dyDescent="0.35">
      <c r="A240">
        <v>239</v>
      </c>
      <c r="B240" s="9">
        <v>906.16672461463702</v>
      </c>
      <c r="C240" s="9">
        <f t="shared" si="3"/>
        <v>47.575342465753423</v>
      </c>
      <c r="D240">
        <v>0</v>
      </c>
    </row>
    <row r="241" spans="1:4" x14ac:dyDescent="0.35">
      <c r="A241">
        <v>240</v>
      </c>
      <c r="B241" s="9">
        <v>906.16672461463702</v>
      </c>
      <c r="C241" s="9">
        <f t="shared" si="3"/>
        <v>47.575342465753423</v>
      </c>
      <c r="D241">
        <v>0</v>
      </c>
    </row>
    <row r="242" spans="1:4" x14ac:dyDescent="0.35">
      <c r="A242">
        <v>241</v>
      </c>
      <c r="B242" s="9">
        <v>906.16672461463702</v>
      </c>
      <c r="C242" s="9">
        <f t="shared" si="3"/>
        <v>47.575342465753423</v>
      </c>
      <c r="D242">
        <v>0</v>
      </c>
    </row>
    <row r="243" spans="1:4" x14ac:dyDescent="0.35">
      <c r="A243">
        <v>242</v>
      </c>
      <c r="B243" s="9">
        <v>906.16672461463702</v>
      </c>
      <c r="C243" s="9">
        <f t="shared" si="3"/>
        <v>47.575342465753423</v>
      </c>
      <c r="D243">
        <v>0</v>
      </c>
    </row>
    <row r="244" spans="1:4" x14ac:dyDescent="0.35">
      <c r="A244">
        <v>243</v>
      </c>
      <c r="B244" s="9">
        <v>906.16672461463702</v>
      </c>
      <c r="C244" s="9">
        <f t="shared" si="3"/>
        <v>47.575342465753423</v>
      </c>
      <c r="D244">
        <v>0</v>
      </c>
    </row>
    <row r="245" spans="1:4" x14ac:dyDescent="0.35">
      <c r="A245">
        <v>244</v>
      </c>
      <c r="B245" s="9">
        <v>906.16672461463702</v>
      </c>
      <c r="C245" s="9">
        <f t="shared" si="3"/>
        <v>47.575342465753423</v>
      </c>
      <c r="D245">
        <v>0</v>
      </c>
    </row>
    <row r="246" spans="1:4" x14ac:dyDescent="0.35">
      <c r="A246">
        <v>245</v>
      </c>
      <c r="B246" s="9">
        <v>906.16672461463702</v>
      </c>
      <c r="C246" s="9">
        <f t="shared" si="3"/>
        <v>47.575342465753423</v>
      </c>
      <c r="D246">
        <v>0</v>
      </c>
    </row>
    <row r="247" spans="1:4" x14ac:dyDescent="0.35">
      <c r="A247">
        <v>246</v>
      </c>
      <c r="B247" s="9">
        <v>906.16672461463702</v>
      </c>
      <c r="C247" s="9">
        <f t="shared" si="3"/>
        <v>47.575342465753423</v>
      </c>
      <c r="D247">
        <v>0</v>
      </c>
    </row>
    <row r="248" spans="1:4" x14ac:dyDescent="0.35">
      <c r="A248">
        <v>247</v>
      </c>
      <c r="B248" s="9">
        <v>906.16672461463702</v>
      </c>
      <c r="C248" s="9">
        <f t="shared" si="3"/>
        <v>47.575342465753423</v>
      </c>
      <c r="D248">
        <v>0</v>
      </c>
    </row>
    <row r="249" spans="1:4" x14ac:dyDescent="0.35">
      <c r="A249">
        <v>248</v>
      </c>
      <c r="B249" s="9">
        <v>906.16672461463702</v>
      </c>
      <c r="C249" s="9">
        <f t="shared" si="3"/>
        <v>47.575342465753423</v>
      </c>
      <c r="D249">
        <v>0</v>
      </c>
    </row>
    <row r="250" spans="1:4" x14ac:dyDescent="0.35">
      <c r="A250">
        <v>249</v>
      </c>
      <c r="B250" s="9">
        <v>906.16672461463702</v>
      </c>
      <c r="C250" s="9">
        <f t="shared" si="3"/>
        <v>47.575342465753423</v>
      </c>
      <c r="D250">
        <v>0</v>
      </c>
    </row>
    <row r="251" spans="1:4" x14ac:dyDescent="0.35">
      <c r="A251">
        <v>250</v>
      </c>
      <c r="B251" s="9">
        <v>906.16672461463702</v>
      </c>
      <c r="C251" s="9">
        <f t="shared" si="3"/>
        <v>47.575342465753423</v>
      </c>
      <c r="D251">
        <v>0</v>
      </c>
    </row>
    <row r="252" spans="1:4" x14ac:dyDescent="0.35">
      <c r="A252">
        <v>251</v>
      </c>
      <c r="B252" s="9">
        <v>906.16672461463702</v>
      </c>
      <c r="C252" s="9">
        <f t="shared" si="3"/>
        <v>47.575342465753423</v>
      </c>
      <c r="D252">
        <v>0</v>
      </c>
    </row>
    <row r="253" spans="1:4" x14ac:dyDescent="0.35">
      <c r="A253">
        <v>252</v>
      </c>
      <c r="B253" s="9">
        <v>906.16672461463702</v>
      </c>
      <c r="C253" s="9">
        <f t="shared" si="3"/>
        <v>47.575342465753423</v>
      </c>
      <c r="D253">
        <v>0</v>
      </c>
    </row>
    <row r="254" spans="1:4" x14ac:dyDescent="0.35">
      <c r="A254">
        <v>253</v>
      </c>
      <c r="B254" s="9">
        <v>906.16672461463702</v>
      </c>
      <c r="C254" s="9">
        <f t="shared" si="3"/>
        <v>47.575342465753423</v>
      </c>
      <c r="D254">
        <v>0</v>
      </c>
    </row>
    <row r="255" spans="1:4" x14ac:dyDescent="0.35">
      <c r="A255">
        <v>254</v>
      </c>
      <c r="B255" s="9">
        <v>906.16672461463702</v>
      </c>
      <c r="C255" s="9">
        <f t="shared" si="3"/>
        <v>47.575342465753423</v>
      </c>
      <c r="D255">
        <v>0</v>
      </c>
    </row>
    <row r="256" spans="1:4" x14ac:dyDescent="0.35">
      <c r="A256">
        <v>255</v>
      </c>
      <c r="B256" s="9">
        <v>906.16672461463702</v>
      </c>
      <c r="C256" s="9">
        <f t="shared" si="3"/>
        <v>47.575342465753423</v>
      </c>
      <c r="D256">
        <v>0</v>
      </c>
    </row>
    <row r="257" spans="1:4" x14ac:dyDescent="0.35">
      <c r="A257">
        <v>256</v>
      </c>
      <c r="B257" s="9">
        <v>906.16672461463702</v>
      </c>
      <c r="C257" s="9">
        <f t="shared" si="3"/>
        <v>47.575342465753423</v>
      </c>
      <c r="D257">
        <v>0</v>
      </c>
    </row>
    <row r="258" spans="1:4" x14ac:dyDescent="0.35">
      <c r="A258">
        <v>257</v>
      </c>
      <c r="B258" s="9">
        <v>906.16672461463702</v>
      </c>
      <c r="C258" s="9">
        <f t="shared" si="3"/>
        <v>47.575342465753423</v>
      </c>
      <c r="D258">
        <v>0</v>
      </c>
    </row>
    <row r="259" spans="1:4" x14ac:dyDescent="0.35">
      <c r="A259">
        <v>258</v>
      </c>
      <c r="B259" s="9">
        <v>906.16672461463702</v>
      </c>
      <c r="C259" s="9">
        <f t="shared" ref="C259:C322" si="4">17365/365</f>
        <v>47.575342465753423</v>
      </c>
      <c r="D259">
        <v>0</v>
      </c>
    </row>
    <row r="260" spans="1:4" x14ac:dyDescent="0.35">
      <c r="A260">
        <v>259</v>
      </c>
      <c r="B260" s="9">
        <v>906.16672461463702</v>
      </c>
      <c r="C260" s="9">
        <f t="shared" si="4"/>
        <v>47.575342465753423</v>
      </c>
      <c r="D260">
        <v>0</v>
      </c>
    </row>
    <row r="261" spans="1:4" x14ac:dyDescent="0.35">
      <c r="A261">
        <v>260</v>
      </c>
      <c r="B261" s="9">
        <v>906.16672461463702</v>
      </c>
      <c r="C261" s="9">
        <f t="shared" si="4"/>
        <v>47.575342465753423</v>
      </c>
      <c r="D261">
        <v>0</v>
      </c>
    </row>
    <row r="262" spans="1:4" x14ac:dyDescent="0.35">
      <c r="A262">
        <v>261</v>
      </c>
      <c r="B262" s="9">
        <v>906.16672461463702</v>
      </c>
      <c r="C262" s="9">
        <f t="shared" si="4"/>
        <v>47.575342465753423</v>
      </c>
      <c r="D262">
        <v>0</v>
      </c>
    </row>
    <row r="263" spans="1:4" x14ac:dyDescent="0.35">
      <c r="A263">
        <v>262</v>
      </c>
      <c r="B263" s="9">
        <v>906.16672461463702</v>
      </c>
      <c r="C263" s="9">
        <f t="shared" si="4"/>
        <v>47.575342465753423</v>
      </c>
      <c r="D263">
        <v>0</v>
      </c>
    </row>
    <row r="264" spans="1:4" x14ac:dyDescent="0.35">
      <c r="A264">
        <v>263</v>
      </c>
      <c r="B264" s="9">
        <v>906.16672461463702</v>
      </c>
      <c r="C264" s="9">
        <f t="shared" si="4"/>
        <v>47.575342465753423</v>
      </c>
      <c r="D264">
        <v>0</v>
      </c>
    </row>
    <row r="265" spans="1:4" x14ac:dyDescent="0.35">
      <c r="A265">
        <v>264</v>
      </c>
      <c r="B265" s="9">
        <v>906.16672461463702</v>
      </c>
      <c r="C265" s="9">
        <f t="shared" si="4"/>
        <v>47.575342465753423</v>
      </c>
      <c r="D265">
        <v>0</v>
      </c>
    </row>
    <row r="266" spans="1:4" x14ac:dyDescent="0.35">
      <c r="A266">
        <v>265</v>
      </c>
      <c r="B266" s="9">
        <v>906.16672461463702</v>
      </c>
      <c r="C266" s="9">
        <f t="shared" si="4"/>
        <v>47.575342465753423</v>
      </c>
      <c r="D266">
        <v>0</v>
      </c>
    </row>
    <row r="267" spans="1:4" x14ac:dyDescent="0.35">
      <c r="A267">
        <v>266</v>
      </c>
      <c r="B267" s="9">
        <v>906.16672461463702</v>
      </c>
      <c r="C267" s="9">
        <f t="shared" si="4"/>
        <v>47.575342465753423</v>
      </c>
      <c r="D267">
        <v>0</v>
      </c>
    </row>
    <row r="268" spans="1:4" x14ac:dyDescent="0.35">
      <c r="A268">
        <v>267</v>
      </c>
      <c r="B268" s="9">
        <v>906.16672461463702</v>
      </c>
      <c r="C268" s="9">
        <f t="shared" si="4"/>
        <v>47.575342465753423</v>
      </c>
      <c r="D268">
        <v>0</v>
      </c>
    </row>
    <row r="269" spans="1:4" x14ac:dyDescent="0.35">
      <c r="A269">
        <v>268</v>
      </c>
      <c r="B269" s="9">
        <v>906.16672461463702</v>
      </c>
      <c r="C269" s="9">
        <f t="shared" si="4"/>
        <v>47.575342465753423</v>
      </c>
      <c r="D269">
        <v>0</v>
      </c>
    </row>
    <row r="270" spans="1:4" x14ac:dyDescent="0.35">
      <c r="A270">
        <v>269</v>
      </c>
      <c r="B270" s="9">
        <v>906.16672461463702</v>
      </c>
      <c r="C270" s="9">
        <f t="shared" si="4"/>
        <v>47.575342465753423</v>
      </c>
      <c r="D270">
        <v>0</v>
      </c>
    </row>
    <row r="271" spans="1:4" x14ac:dyDescent="0.35">
      <c r="A271">
        <v>270</v>
      </c>
      <c r="B271" s="9">
        <v>906.16672461463702</v>
      </c>
      <c r="C271" s="9">
        <f t="shared" si="4"/>
        <v>47.575342465753423</v>
      </c>
      <c r="D271">
        <v>0</v>
      </c>
    </row>
    <row r="272" spans="1:4" x14ac:dyDescent="0.35">
      <c r="A272">
        <v>271</v>
      </c>
      <c r="B272" s="9">
        <v>906.16672461463702</v>
      </c>
      <c r="C272" s="9">
        <f t="shared" si="4"/>
        <v>47.575342465753423</v>
      </c>
      <c r="D272">
        <v>0</v>
      </c>
    </row>
    <row r="273" spans="1:4" x14ac:dyDescent="0.35">
      <c r="A273">
        <v>272</v>
      </c>
      <c r="B273" s="9">
        <v>906.16672461463702</v>
      </c>
      <c r="C273" s="9">
        <f t="shared" si="4"/>
        <v>47.575342465753423</v>
      </c>
      <c r="D273">
        <v>0</v>
      </c>
    </row>
    <row r="274" spans="1:4" x14ac:dyDescent="0.35">
      <c r="A274">
        <v>273</v>
      </c>
      <c r="B274" s="9">
        <v>906.16672461463702</v>
      </c>
      <c r="C274" s="9">
        <f t="shared" si="4"/>
        <v>47.575342465753423</v>
      </c>
      <c r="D274">
        <v>0</v>
      </c>
    </row>
    <row r="275" spans="1:4" x14ac:dyDescent="0.35">
      <c r="A275">
        <v>274</v>
      </c>
      <c r="B275" s="9">
        <v>906.16672461463702</v>
      </c>
      <c r="C275" s="9">
        <f t="shared" si="4"/>
        <v>47.575342465753423</v>
      </c>
      <c r="D275">
        <v>0</v>
      </c>
    </row>
    <row r="276" spans="1:4" x14ac:dyDescent="0.35">
      <c r="A276">
        <v>275</v>
      </c>
      <c r="B276" s="9">
        <v>906.16672461463702</v>
      </c>
      <c r="C276" s="9">
        <f t="shared" si="4"/>
        <v>47.575342465753423</v>
      </c>
      <c r="D276">
        <v>0</v>
      </c>
    </row>
    <row r="277" spans="1:4" x14ac:dyDescent="0.35">
      <c r="A277">
        <v>276</v>
      </c>
      <c r="B277" s="9">
        <v>906.16672461463702</v>
      </c>
      <c r="C277" s="9">
        <f t="shared" si="4"/>
        <v>47.575342465753423</v>
      </c>
      <c r="D277">
        <v>0</v>
      </c>
    </row>
    <row r="278" spans="1:4" x14ac:dyDescent="0.35">
      <c r="A278">
        <v>277</v>
      </c>
      <c r="B278" s="9">
        <v>906.16672461463702</v>
      </c>
      <c r="C278" s="9">
        <f t="shared" si="4"/>
        <v>47.575342465753423</v>
      </c>
      <c r="D278">
        <v>0</v>
      </c>
    </row>
    <row r="279" spans="1:4" x14ac:dyDescent="0.35">
      <c r="A279">
        <v>278</v>
      </c>
      <c r="B279" s="9">
        <v>906.16672461463702</v>
      </c>
      <c r="C279" s="9">
        <f t="shared" si="4"/>
        <v>47.575342465753423</v>
      </c>
      <c r="D279">
        <v>0</v>
      </c>
    </row>
    <row r="280" spans="1:4" x14ac:dyDescent="0.35">
      <c r="A280">
        <v>279</v>
      </c>
      <c r="B280" s="9">
        <v>906.16672461463702</v>
      </c>
      <c r="C280" s="9">
        <f t="shared" si="4"/>
        <v>47.575342465753423</v>
      </c>
      <c r="D280">
        <v>0</v>
      </c>
    </row>
    <row r="281" spans="1:4" x14ac:dyDescent="0.35">
      <c r="A281">
        <v>280</v>
      </c>
      <c r="B281" s="9">
        <v>906.16672461463702</v>
      </c>
      <c r="C281" s="9">
        <f t="shared" si="4"/>
        <v>47.575342465753423</v>
      </c>
      <c r="D281">
        <v>0</v>
      </c>
    </row>
    <row r="282" spans="1:4" x14ac:dyDescent="0.35">
      <c r="A282">
        <v>281</v>
      </c>
      <c r="B282" s="9">
        <v>906.16672461463702</v>
      </c>
      <c r="C282" s="9">
        <f t="shared" si="4"/>
        <v>47.575342465753423</v>
      </c>
      <c r="D282">
        <v>0</v>
      </c>
    </row>
    <row r="283" spans="1:4" x14ac:dyDescent="0.35">
      <c r="A283">
        <v>282</v>
      </c>
      <c r="B283" s="9">
        <v>906.16672461463702</v>
      </c>
      <c r="C283" s="9">
        <f t="shared" si="4"/>
        <v>47.575342465753423</v>
      </c>
      <c r="D283">
        <v>0</v>
      </c>
    </row>
    <row r="284" spans="1:4" x14ac:dyDescent="0.35">
      <c r="A284">
        <v>283</v>
      </c>
      <c r="B284" s="9">
        <v>906.16672461463702</v>
      </c>
      <c r="C284" s="9">
        <f t="shared" si="4"/>
        <v>47.575342465753423</v>
      </c>
      <c r="D284">
        <v>0</v>
      </c>
    </row>
    <row r="285" spans="1:4" x14ac:dyDescent="0.35">
      <c r="A285">
        <v>284</v>
      </c>
      <c r="B285" s="9">
        <v>906.16672461463702</v>
      </c>
      <c r="C285" s="9">
        <f t="shared" si="4"/>
        <v>47.575342465753423</v>
      </c>
      <c r="D285">
        <v>0</v>
      </c>
    </row>
    <row r="286" spans="1:4" x14ac:dyDescent="0.35">
      <c r="A286">
        <v>285</v>
      </c>
      <c r="B286" s="9">
        <v>906.16672461463702</v>
      </c>
      <c r="C286" s="9">
        <f t="shared" si="4"/>
        <v>47.575342465753423</v>
      </c>
      <c r="D286">
        <v>0</v>
      </c>
    </row>
    <row r="287" spans="1:4" x14ac:dyDescent="0.35">
      <c r="A287">
        <v>286</v>
      </c>
      <c r="B287" s="9">
        <v>906.16672461463702</v>
      </c>
      <c r="C287" s="9">
        <f t="shared" si="4"/>
        <v>47.575342465753423</v>
      </c>
      <c r="D287">
        <v>0</v>
      </c>
    </row>
    <row r="288" spans="1:4" x14ac:dyDescent="0.35">
      <c r="A288">
        <v>287</v>
      </c>
      <c r="B288" s="9">
        <v>906.16672461463702</v>
      </c>
      <c r="C288" s="9">
        <f t="shared" si="4"/>
        <v>47.575342465753423</v>
      </c>
      <c r="D288">
        <v>0</v>
      </c>
    </row>
    <row r="289" spans="1:4" x14ac:dyDescent="0.35">
      <c r="A289">
        <v>288</v>
      </c>
      <c r="B289" s="9">
        <v>906.16672461463702</v>
      </c>
      <c r="C289" s="9">
        <f t="shared" si="4"/>
        <v>47.575342465753423</v>
      </c>
      <c r="D289">
        <v>0</v>
      </c>
    </row>
    <row r="290" spans="1:4" x14ac:dyDescent="0.35">
      <c r="A290">
        <v>289</v>
      </c>
      <c r="B290" s="9">
        <v>906.16672461463702</v>
      </c>
      <c r="C290" s="9">
        <f t="shared" si="4"/>
        <v>47.575342465753423</v>
      </c>
      <c r="D290">
        <v>0</v>
      </c>
    </row>
    <row r="291" spans="1:4" x14ac:dyDescent="0.35">
      <c r="A291">
        <v>290</v>
      </c>
      <c r="B291" s="9">
        <v>906.16672461463702</v>
      </c>
      <c r="C291" s="9">
        <f t="shared" si="4"/>
        <v>47.575342465753423</v>
      </c>
      <c r="D291">
        <v>0</v>
      </c>
    </row>
    <row r="292" spans="1:4" x14ac:dyDescent="0.35">
      <c r="A292">
        <v>291</v>
      </c>
      <c r="B292" s="9">
        <v>906.16672461463702</v>
      </c>
      <c r="C292" s="9">
        <f t="shared" si="4"/>
        <v>47.575342465753423</v>
      </c>
      <c r="D292">
        <v>0</v>
      </c>
    </row>
    <row r="293" spans="1:4" x14ac:dyDescent="0.35">
      <c r="A293">
        <v>292</v>
      </c>
      <c r="B293" s="9">
        <v>906.16672461463702</v>
      </c>
      <c r="C293" s="9">
        <f t="shared" si="4"/>
        <v>47.575342465753423</v>
      </c>
      <c r="D293">
        <v>0</v>
      </c>
    </row>
    <row r="294" spans="1:4" x14ac:dyDescent="0.35">
      <c r="A294">
        <v>293</v>
      </c>
      <c r="B294" s="9">
        <v>906.16672461463702</v>
      </c>
      <c r="C294" s="9">
        <f t="shared" si="4"/>
        <v>47.575342465753423</v>
      </c>
      <c r="D294">
        <v>0</v>
      </c>
    </row>
    <row r="295" spans="1:4" x14ac:dyDescent="0.35">
      <c r="A295">
        <v>294</v>
      </c>
      <c r="B295" s="9">
        <v>906.16672461463702</v>
      </c>
      <c r="C295" s="9">
        <f t="shared" si="4"/>
        <v>47.575342465753423</v>
      </c>
      <c r="D295">
        <v>0</v>
      </c>
    </row>
    <row r="296" spans="1:4" x14ac:dyDescent="0.35">
      <c r="A296">
        <v>295</v>
      </c>
      <c r="B296" s="9">
        <v>906.16672461463702</v>
      </c>
      <c r="C296" s="9">
        <f t="shared" si="4"/>
        <v>47.575342465753423</v>
      </c>
      <c r="D296">
        <v>0</v>
      </c>
    </row>
    <row r="297" spans="1:4" x14ac:dyDescent="0.35">
      <c r="A297">
        <v>296</v>
      </c>
      <c r="B297" s="9">
        <v>906.16672461463702</v>
      </c>
      <c r="C297" s="9">
        <f t="shared" si="4"/>
        <v>47.575342465753423</v>
      </c>
      <c r="D297">
        <v>0</v>
      </c>
    </row>
    <row r="298" spans="1:4" x14ac:dyDescent="0.35">
      <c r="A298">
        <v>297</v>
      </c>
      <c r="B298" s="9">
        <v>906.16672461463702</v>
      </c>
      <c r="C298" s="9">
        <f t="shared" si="4"/>
        <v>47.575342465753423</v>
      </c>
      <c r="D298">
        <v>0</v>
      </c>
    </row>
    <row r="299" spans="1:4" x14ac:dyDescent="0.35">
      <c r="A299">
        <v>298</v>
      </c>
      <c r="B299" s="9">
        <v>906.16672461463702</v>
      </c>
      <c r="C299" s="9">
        <f t="shared" si="4"/>
        <v>47.575342465753423</v>
      </c>
      <c r="D299">
        <v>0</v>
      </c>
    </row>
    <row r="300" spans="1:4" x14ac:dyDescent="0.35">
      <c r="A300">
        <v>299</v>
      </c>
      <c r="B300" s="9">
        <v>906.16672461463702</v>
      </c>
      <c r="C300" s="9">
        <f t="shared" si="4"/>
        <v>47.575342465753423</v>
      </c>
      <c r="D300">
        <v>0</v>
      </c>
    </row>
    <row r="301" spans="1:4" x14ac:dyDescent="0.35">
      <c r="A301">
        <v>300</v>
      </c>
      <c r="B301" s="9">
        <v>906.16672461463702</v>
      </c>
      <c r="C301" s="9">
        <f t="shared" si="4"/>
        <v>47.575342465753423</v>
      </c>
      <c r="D301">
        <v>0</v>
      </c>
    </row>
    <row r="302" spans="1:4" x14ac:dyDescent="0.35">
      <c r="A302">
        <v>301</v>
      </c>
      <c r="B302" s="9">
        <v>906.16672461463702</v>
      </c>
      <c r="C302" s="9">
        <f t="shared" si="4"/>
        <v>47.575342465753423</v>
      </c>
      <c r="D302">
        <v>0</v>
      </c>
    </row>
    <row r="303" spans="1:4" x14ac:dyDescent="0.35">
      <c r="A303">
        <v>302</v>
      </c>
      <c r="B303" s="9">
        <v>906.16672461463702</v>
      </c>
      <c r="C303" s="9">
        <f t="shared" si="4"/>
        <v>47.575342465753423</v>
      </c>
      <c r="D303">
        <v>0</v>
      </c>
    </row>
    <row r="304" spans="1:4" x14ac:dyDescent="0.35">
      <c r="A304">
        <v>303</v>
      </c>
      <c r="B304" s="9">
        <v>906.16672461463702</v>
      </c>
      <c r="C304" s="9">
        <f t="shared" si="4"/>
        <v>47.575342465753423</v>
      </c>
      <c r="D304">
        <v>0</v>
      </c>
    </row>
    <row r="305" spans="1:4" x14ac:dyDescent="0.35">
      <c r="A305">
        <v>304</v>
      </c>
      <c r="B305" s="9">
        <v>906.16672461463702</v>
      </c>
      <c r="C305" s="9">
        <f t="shared" si="4"/>
        <v>47.575342465753423</v>
      </c>
      <c r="D305">
        <v>0</v>
      </c>
    </row>
    <row r="306" spans="1:4" x14ac:dyDescent="0.35">
      <c r="A306">
        <v>305</v>
      </c>
      <c r="B306" s="9">
        <v>906.16672461463702</v>
      </c>
      <c r="C306" s="9">
        <f t="shared" si="4"/>
        <v>47.575342465753423</v>
      </c>
      <c r="D306">
        <v>0</v>
      </c>
    </row>
    <row r="307" spans="1:4" x14ac:dyDescent="0.35">
      <c r="A307">
        <v>306</v>
      </c>
      <c r="B307" s="9">
        <v>906.16672461463702</v>
      </c>
      <c r="C307" s="9">
        <f t="shared" si="4"/>
        <v>47.575342465753423</v>
      </c>
      <c r="D307">
        <v>0</v>
      </c>
    </row>
    <row r="308" spans="1:4" x14ac:dyDescent="0.35">
      <c r="A308">
        <v>307</v>
      </c>
      <c r="B308" s="9">
        <v>906.16672461463702</v>
      </c>
      <c r="C308" s="9">
        <f t="shared" si="4"/>
        <v>47.575342465753423</v>
      </c>
      <c r="D308">
        <v>0</v>
      </c>
    </row>
    <row r="309" spans="1:4" x14ac:dyDescent="0.35">
      <c r="A309">
        <v>308</v>
      </c>
      <c r="B309" s="9">
        <v>906.16672461463702</v>
      </c>
      <c r="C309" s="9">
        <f t="shared" si="4"/>
        <v>47.575342465753423</v>
      </c>
      <c r="D309">
        <v>0</v>
      </c>
    </row>
    <row r="310" spans="1:4" x14ac:dyDescent="0.35">
      <c r="A310">
        <v>309</v>
      </c>
      <c r="B310" s="9">
        <v>906.16672461463702</v>
      </c>
      <c r="C310" s="9">
        <f t="shared" si="4"/>
        <v>47.575342465753423</v>
      </c>
      <c r="D310">
        <v>0</v>
      </c>
    </row>
    <row r="311" spans="1:4" x14ac:dyDescent="0.35">
      <c r="A311">
        <v>310</v>
      </c>
      <c r="B311" s="9">
        <v>906.16672461463702</v>
      </c>
      <c r="C311" s="9">
        <f t="shared" si="4"/>
        <v>47.575342465753423</v>
      </c>
      <c r="D311">
        <v>0</v>
      </c>
    </row>
    <row r="312" spans="1:4" x14ac:dyDescent="0.35">
      <c r="A312">
        <v>311</v>
      </c>
      <c r="B312" s="9">
        <v>906.16672461463702</v>
      </c>
      <c r="C312" s="9">
        <f t="shared" si="4"/>
        <v>47.575342465753423</v>
      </c>
      <c r="D312">
        <v>0</v>
      </c>
    </row>
    <row r="313" spans="1:4" x14ac:dyDescent="0.35">
      <c r="A313">
        <v>312</v>
      </c>
      <c r="B313" s="9">
        <v>906.16672461463702</v>
      </c>
      <c r="C313" s="9">
        <f t="shared" si="4"/>
        <v>47.575342465753423</v>
      </c>
      <c r="D313">
        <v>0</v>
      </c>
    </row>
    <row r="314" spans="1:4" x14ac:dyDescent="0.35">
      <c r="A314">
        <v>313</v>
      </c>
      <c r="B314" s="9">
        <v>906.16672461463702</v>
      </c>
      <c r="C314" s="9">
        <f t="shared" si="4"/>
        <v>47.575342465753423</v>
      </c>
      <c r="D314">
        <v>0</v>
      </c>
    </row>
    <row r="315" spans="1:4" x14ac:dyDescent="0.35">
      <c r="A315">
        <v>314</v>
      </c>
      <c r="B315" s="9">
        <v>906.16672461463702</v>
      </c>
      <c r="C315" s="9">
        <f t="shared" si="4"/>
        <v>47.575342465753423</v>
      </c>
      <c r="D315">
        <v>0</v>
      </c>
    </row>
    <row r="316" spans="1:4" x14ac:dyDescent="0.35">
      <c r="A316">
        <v>315</v>
      </c>
      <c r="B316" s="9">
        <v>906.16672461463702</v>
      </c>
      <c r="C316" s="9">
        <f t="shared" si="4"/>
        <v>47.575342465753423</v>
      </c>
      <c r="D316">
        <v>0</v>
      </c>
    </row>
    <row r="317" spans="1:4" x14ac:dyDescent="0.35">
      <c r="A317">
        <v>316</v>
      </c>
      <c r="B317" s="9">
        <v>906.16672461463702</v>
      </c>
      <c r="C317" s="9">
        <f t="shared" si="4"/>
        <v>47.575342465753423</v>
      </c>
      <c r="D317">
        <v>0</v>
      </c>
    </row>
    <row r="318" spans="1:4" x14ac:dyDescent="0.35">
      <c r="A318">
        <v>317</v>
      </c>
      <c r="B318" s="9">
        <v>906.16672461463702</v>
      </c>
      <c r="C318" s="9">
        <f t="shared" si="4"/>
        <v>47.575342465753423</v>
      </c>
      <c r="D318">
        <v>0</v>
      </c>
    </row>
    <row r="319" spans="1:4" x14ac:dyDescent="0.35">
      <c r="A319">
        <v>318</v>
      </c>
      <c r="B319" s="9">
        <v>906.16672461463702</v>
      </c>
      <c r="C319" s="9">
        <f t="shared" si="4"/>
        <v>47.575342465753423</v>
      </c>
      <c r="D319">
        <v>0</v>
      </c>
    </row>
    <row r="320" spans="1:4" x14ac:dyDescent="0.35">
      <c r="A320">
        <v>319</v>
      </c>
      <c r="B320" s="9">
        <v>906.16672461463702</v>
      </c>
      <c r="C320" s="9">
        <f t="shared" si="4"/>
        <v>47.575342465753423</v>
      </c>
      <c r="D320">
        <v>0</v>
      </c>
    </row>
    <row r="321" spans="1:4" x14ac:dyDescent="0.35">
      <c r="A321">
        <v>320</v>
      </c>
      <c r="B321" s="9">
        <v>906.16672461463702</v>
      </c>
      <c r="C321" s="9">
        <f t="shared" si="4"/>
        <v>47.575342465753423</v>
      </c>
      <c r="D321">
        <v>0</v>
      </c>
    </row>
    <row r="322" spans="1:4" x14ac:dyDescent="0.35">
      <c r="A322">
        <v>321</v>
      </c>
      <c r="B322" s="9">
        <v>906.16672461463702</v>
      </c>
      <c r="C322" s="9">
        <f t="shared" si="4"/>
        <v>47.575342465753423</v>
      </c>
      <c r="D322">
        <v>0</v>
      </c>
    </row>
    <row r="323" spans="1:4" x14ac:dyDescent="0.35">
      <c r="A323">
        <v>322</v>
      </c>
      <c r="B323" s="9">
        <v>906.16672461463702</v>
      </c>
      <c r="C323" s="9">
        <f t="shared" ref="C323:C366" si="5">17365/365</f>
        <v>47.575342465753423</v>
      </c>
      <c r="D323">
        <v>0</v>
      </c>
    </row>
    <row r="324" spans="1:4" x14ac:dyDescent="0.35">
      <c r="A324">
        <v>323</v>
      </c>
      <c r="B324" s="9">
        <v>906.16672461463702</v>
      </c>
      <c r="C324" s="9">
        <f t="shared" si="5"/>
        <v>47.575342465753423</v>
      </c>
      <c r="D324">
        <v>0</v>
      </c>
    </row>
    <row r="325" spans="1:4" x14ac:dyDescent="0.35">
      <c r="A325">
        <v>324</v>
      </c>
      <c r="B325" s="9">
        <v>906.16672461463702</v>
      </c>
      <c r="C325" s="9">
        <f t="shared" si="5"/>
        <v>47.575342465753423</v>
      </c>
      <c r="D325">
        <v>0</v>
      </c>
    </row>
    <row r="326" spans="1:4" x14ac:dyDescent="0.35">
      <c r="A326">
        <v>325</v>
      </c>
      <c r="B326" s="9">
        <v>906.16672461463702</v>
      </c>
      <c r="C326" s="9">
        <f t="shared" si="5"/>
        <v>47.575342465753423</v>
      </c>
      <c r="D326">
        <v>0</v>
      </c>
    </row>
    <row r="327" spans="1:4" x14ac:dyDescent="0.35">
      <c r="A327">
        <v>326</v>
      </c>
      <c r="B327" s="9">
        <v>906.16672461463702</v>
      </c>
      <c r="C327" s="9">
        <f t="shared" si="5"/>
        <v>47.575342465753423</v>
      </c>
      <c r="D327">
        <v>0</v>
      </c>
    </row>
    <row r="328" spans="1:4" x14ac:dyDescent="0.35">
      <c r="A328">
        <v>327</v>
      </c>
      <c r="B328" s="9">
        <v>906.16672461463702</v>
      </c>
      <c r="C328" s="9">
        <f t="shared" si="5"/>
        <v>47.575342465753423</v>
      </c>
      <c r="D328">
        <v>0</v>
      </c>
    </row>
    <row r="329" spans="1:4" x14ac:dyDescent="0.35">
      <c r="A329">
        <v>328</v>
      </c>
      <c r="B329" s="9">
        <v>906.16672461463702</v>
      </c>
      <c r="C329" s="9">
        <f t="shared" si="5"/>
        <v>47.575342465753423</v>
      </c>
      <c r="D329">
        <v>0</v>
      </c>
    </row>
    <row r="330" spans="1:4" x14ac:dyDescent="0.35">
      <c r="A330">
        <v>329</v>
      </c>
      <c r="B330" s="9">
        <v>906.16672461463702</v>
      </c>
      <c r="C330" s="9">
        <f t="shared" si="5"/>
        <v>47.575342465753423</v>
      </c>
      <c r="D330">
        <v>0</v>
      </c>
    </row>
    <row r="331" spans="1:4" x14ac:dyDescent="0.35">
      <c r="A331">
        <v>330</v>
      </c>
      <c r="B331" s="9">
        <v>906.16672461463702</v>
      </c>
      <c r="C331" s="9">
        <f t="shared" si="5"/>
        <v>47.575342465753423</v>
      </c>
      <c r="D331">
        <v>0</v>
      </c>
    </row>
    <row r="332" spans="1:4" x14ac:dyDescent="0.35">
      <c r="A332">
        <v>331</v>
      </c>
      <c r="B332" s="9">
        <v>906.16672461463702</v>
      </c>
      <c r="C332" s="9">
        <f t="shared" si="5"/>
        <v>47.575342465753423</v>
      </c>
      <c r="D332">
        <v>0</v>
      </c>
    </row>
    <row r="333" spans="1:4" x14ac:dyDescent="0.35">
      <c r="A333">
        <v>332</v>
      </c>
      <c r="B333" s="9">
        <v>906.16672461463702</v>
      </c>
      <c r="C333" s="9">
        <f t="shared" si="5"/>
        <v>47.575342465753423</v>
      </c>
      <c r="D333">
        <v>0</v>
      </c>
    </row>
    <row r="334" spans="1:4" x14ac:dyDescent="0.35">
      <c r="A334">
        <v>333</v>
      </c>
      <c r="B334" s="9">
        <v>906.16672461463702</v>
      </c>
      <c r="C334" s="9">
        <f t="shared" si="5"/>
        <v>47.575342465753423</v>
      </c>
      <c r="D334">
        <v>0</v>
      </c>
    </row>
    <row r="335" spans="1:4" x14ac:dyDescent="0.35">
      <c r="A335">
        <v>334</v>
      </c>
      <c r="B335" s="9">
        <v>906.16672461463702</v>
      </c>
      <c r="C335" s="9">
        <f t="shared" si="5"/>
        <v>47.575342465753423</v>
      </c>
      <c r="D335">
        <v>0</v>
      </c>
    </row>
    <row r="336" spans="1:4" x14ac:dyDescent="0.35">
      <c r="A336">
        <v>335</v>
      </c>
      <c r="B336" s="9">
        <v>906.16672461463702</v>
      </c>
      <c r="C336" s="9">
        <f t="shared" si="5"/>
        <v>47.575342465753423</v>
      </c>
      <c r="D336">
        <v>0</v>
      </c>
    </row>
    <row r="337" spans="1:4" x14ac:dyDescent="0.35">
      <c r="A337">
        <v>336</v>
      </c>
      <c r="B337" s="9">
        <v>906.16672461463702</v>
      </c>
      <c r="C337" s="9">
        <f t="shared" si="5"/>
        <v>47.575342465753423</v>
      </c>
      <c r="D337">
        <v>0</v>
      </c>
    </row>
    <row r="338" spans="1:4" x14ac:dyDescent="0.35">
      <c r="A338">
        <v>337</v>
      </c>
      <c r="B338" s="9">
        <v>906.16672461463702</v>
      </c>
      <c r="C338" s="9">
        <f t="shared" si="5"/>
        <v>47.575342465753423</v>
      </c>
      <c r="D338">
        <v>0</v>
      </c>
    </row>
    <row r="339" spans="1:4" x14ac:dyDescent="0.35">
      <c r="A339">
        <v>338</v>
      </c>
      <c r="B339" s="9">
        <v>906.16672461463702</v>
      </c>
      <c r="C339" s="9">
        <f t="shared" si="5"/>
        <v>47.575342465753423</v>
      </c>
      <c r="D339">
        <v>0</v>
      </c>
    </row>
    <row r="340" spans="1:4" x14ac:dyDescent="0.35">
      <c r="A340">
        <v>339</v>
      </c>
      <c r="B340" s="9">
        <v>906.16672461463702</v>
      </c>
      <c r="C340" s="9">
        <f t="shared" si="5"/>
        <v>47.575342465753423</v>
      </c>
      <c r="D340">
        <v>0</v>
      </c>
    </row>
    <row r="341" spans="1:4" x14ac:dyDescent="0.35">
      <c r="A341">
        <v>340</v>
      </c>
      <c r="B341" s="9">
        <v>906.16672461463702</v>
      </c>
      <c r="C341" s="9">
        <f t="shared" si="5"/>
        <v>47.575342465753423</v>
      </c>
      <c r="D341">
        <v>0</v>
      </c>
    </row>
    <row r="342" spans="1:4" x14ac:dyDescent="0.35">
      <c r="A342">
        <v>341</v>
      </c>
      <c r="B342" s="9">
        <v>906.16672461463702</v>
      </c>
      <c r="C342" s="9">
        <f t="shared" si="5"/>
        <v>47.575342465753423</v>
      </c>
      <c r="D342">
        <v>0</v>
      </c>
    </row>
    <row r="343" spans="1:4" x14ac:dyDescent="0.35">
      <c r="A343">
        <v>342</v>
      </c>
      <c r="B343" s="9">
        <v>906.16672461463702</v>
      </c>
      <c r="C343" s="9">
        <f t="shared" si="5"/>
        <v>47.575342465753423</v>
      </c>
      <c r="D343">
        <v>0</v>
      </c>
    </row>
    <row r="344" spans="1:4" x14ac:dyDescent="0.35">
      <c r="A344">
        <v>343</v>
      </c>
      <c r="B344" s="9">
        <v>906.16672461463702</v>
      </c>
      <c r="C344" s="9">
        <f t="shared" si="5"/>
        <v>47.575342465753423</v>
      </c>
      <c r="D344">
        <v>0</v>
      </c>
    </row>
    <row r="345" spans="1:4" x14ac:dyDescent="0.35">
      <c r="A345">
        <v>344</v>
      </c>
      <c r="B345" s="9">
        <v>906.16672461463702</v>
      </c>
      <c r="C345" s="9">
        <f t="shared" si="5"/>
        <v>47.575342465753423</v>
      </c>
      <c r="D345">
        <v>0</v>
      </c>
    </row>
    <row r="346" spans="1:4" x14ac:dyDescent="0.35">
      <c r="A346">
        <v>345</v>
      </c>
      <c r="B346" s="9">
        <v>906.16672461463702</v>
      </c>
      <c r="C346" s="9">
        <f t="shared" si="5"/>
        <v>47.575342465753423</v>
      </c>
      <c r="D346">
        <v>0</v>
      </c>
    </row>
    <row r="347" spans="1:4" x14ac:dyDescent="0.35">
      <c r="A347">
        <v>346</v>
      </c>
      <c r="B347" s="9">
        <v>906.16672461463702</v>
      </c>
      <c r="C347" s="9">
        <f t="shared" si="5"/>
        <v>47.575342465753423</v>
      </c>
      <c r="D347">
        <v>0</v>
      </c>
    </row>
    <row r="348" spans="1:4" x14ac:dyDescent="0.35">
      <c r="A348">
        <v>347</v>
      </c>
      <c r="B348" s="9">
        <v>906.16672461463702</v>
      </c>
      <c r="C348" s="9">
        <f t="shared" si="5"/>
        <v>47.575342465753423</v>
      </c>
      <c r="D348">
        <v>0</v>
      </c>
    </row>
    <row r="349" spans="1:4" x14ac:dyDescent="0.35">
      <c r="A349">
        <v>348</v>
      </c>
      <c r="B349" s="9">
        <v>906.16672461463702</v>
      </c>
      <c r="C349" s="9">
        <f t="shared" si="5"/>
        <v>47.575342465753423</v>
      </c>
      <c r="D349">
        <v>0</v>
      </c>
    </row>
    <row r="350" spans="1:4" x14ac:dyDescent="0.35">
      <c r="A350">
        <v>349</v>
      </c>
      <c r="B350" s="9">
        <v>906.16672461463702</v>
      </c>
      <c r="C350" s="9">
        <f t="shared" si="5"/>
        <v>47.575342465753423</v>
      </c>
      <c r="D350">
        <v>0</v>
      </c>
    </row>
    <row r="351" spans="1:4" x14ac:dyDescent="0.35">
      <c r="A351">
        <v>350</v>
      </c>
      <c r="B351" s="9">
        <v>906.16672461463702</v>
      </c>
      <c r="C351" s="9">
        <f t="shared" si="5"/>
        <v>47.575342465753423</v>
      </c>
      <c r="D351">
        <v>0</v>
      </c>
    </row>
    <row r="352" spans="1:4" x14ac:dyDescent="0.35">
      <c r="A352">
        <v>351</v>
      </c>
      <c r="B352" s="9">
        <v>906.16672461463702</v>
      </c>
      <c r="C352" s="9">
        <f t="shared" si="5"/>
        <v>47.575342465753423</v>
      </c>
      <c r="D352">
        <v>0</v>
      </c>
    </row>
    <row r="353" spans="1:4" x14ac:dyDescent="0.35">
      <c r="A353">
        <v>352</v>
      </c>
      <c r="B353" s="9">
        <v>906.16672461463702</v>
      </c>
      <c r="C353" s="9">
        <f t="shared" si="5"/>
        <v>47.575342465753423</v>
      </c>
      <c r="D353">
        <v>0</v>
      </c>
    </row>
    <row r="354" spans="1:4" x14ac:dyDescent="0.35">
      <c r="A354">
        <v>353</v>
      </c>
      <c r="B354" s="9">
        <v>906.16672461463702</v>
      </c>
      <c r="C354" s="9">
        <f t="shared" si="5"/>
        <v>47.575342465753423</v>
      </c>
      <c r="D354">
        <v>0</v>
      </c>
    </row>
    <row r="355" spans="1:4" x14ac:dyDescent="0.35">
      <c r="A355">
        <v>354</v>
      </c>
      <c r="B355" s="9">
        <v>906.16672461463702</v>
      </c>
      <c r="C355" s="9">
        <f t="shared" si="5"/>
        <v>47.575342465753423</v>
      </c>
      <c r="D355">
        <v>0</v>
      </c>
    </row>
    <row r="356" spans="1:4" x14ac:dyDescent="0.35">
      <c r="A356">
        <v>355</v>
      </c>
      <c r="B356" s="9">
        <v>906.16672461463702</v>
      </c>
      <c r="C356" s="9">
        <f t="shared" si="5"/>
        <v>47.575342465753423</v>
      </c>
      <c r="D356">
        <v>0</v>
      </c>
    </row>
    <row r="357" spans="1:4" x14ac:dyDescent="0.35">
      <c r="A357">
        <v>356</v>
      </c>
      <c r="B357" s="9">
        <v>906.16672461463702</v>
      </c>
      <c r="C357" s="9">
        <f t="shared" si="5"/>
        <v>47.575342465753423</v>
      </c>
      <c r="D357">
        <v>0</v>
      </c>
    </row>
    <row r="358" spans="1:4" x14ac:dyDescent="0.35">
      <c r="A358">
        <v>357</v>
      </c>
      <c r="B358" s="9">
        <v>906.16672461463702</v>
      </c>
      <c r="C358" s="9">
        <f t="shared" si="5"/>
        <v>47.575342465753423</v>
      </c>
      <c r="D358">
        <v>0</v>
      </c>
    </row>
    <row r="359" spans="1:4" x14ac:dyDescent="0.35">
      <c r="A359">
        <v>358</v>
      </c>
      <c r="B359" s="9">
        <v>906.16672461463702</v>
      </c>
      <c r="C359" s="9">
        <f t="shared" si="5"/>
        <v>47.575342465753423</v>
      </c>
      <c r="D359">
        <v>0</v>
      </c>
    </row>
    <row r="360" spans="1:4" x14ac:dyDescent="0.35">
      <c r="A360">
        <v>359</v>
      </c>
      <c r="B360" s="9">
        <v>906.16672461463702</v>
      </c>
      <c r="C360" s="9">
        <f t="shared" si="5"/>
        <v>47.575342465753423</v>
      </c>
      <c r="D360">
        <v>0</v>
      </c>
    </row>
    <row r="361" spans="1:4" x14ac:dyDescent="0.35">
      <c r="A361">
        <v>360</v>
      </c>
      <c r="B361" s="9">
        <v>906.16672461463702</v>
      </c>
      <c r="C361" s="9">
        <f t="shared" si="5"/>
        <v>47.575342465753423</v>
      </c>
      <c r="D361">
        <v>0</v>
      </c>
    </row>
    <row r="362" spans="1:4" x14ac:dyDescent="0.35">
      <c r="A362">
        <v>361</v>
      </c>
      <c r="B362" s="9">
        <v>906.16672461463702</v>
      </c>
      <c r="C362" s="9">
        <f t="shared" si="5"/>
        <v>47.575342465753423</v>
      </c>
      <c r="D362">
        <v>0</v>
      </c>
    </row>
    <row r="363" spans="1:4" x14ac:dyDescent="0.35">
      <c r="A363">
        <v>362</v>
      </c>
      <c r="B363" s="9">
        <v>906.16672461463702</v>
      </c>
      <c r="C363" s="9">
        <f t="shared" si="5"/>
        <v>47.575342465753423</v>
      </c>
      <c r="D363">
        <v>0</v>
      </c>
    </row>
    <row r="364" spans="1:4" x14ac:dyDescent="0.35">
      <c r="A364">
        <v>363</v>
      </c>
      <c r="B364" s="9">
        <v>906.16672461463702</v>
      </c>
      <c r="C364" s="9">
        <f t="shared" si="5"/>
        <v>47.575342465753423</v>
      </c>
      <c r="D364">
        <v>0</v>
      </c>
    </row>
    <row r="365" spans="1:4" x14ac:dyDescent="0.35">
      <c r="A365">
        <v>364</v>
      </c>
      <c r="B365" s="9">
        <v>906.16672461463702</v>
      </c>
      <c r="C365" s="9">
        <f t="shared" si="5"/>
        <v>47.575342465753423</v>
      </c>
      <c r="D365">
        <v>0</v>
      </c>
    </row>
    <row r="366" spans="1:4" x14ac:dyDescent="0.35">
      <c r="A366">
        <v>365</v>
      </c>
      <c r="B366" s="9">
        <v>906.16672461463702</v>
      </c>
      <c r="C366" s="9">
        <f t="shared" si="5"/>
        <v>47.575342465753423</v>
      </c>
      <c r="D366">
        <v>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C45F8C38E2F7449B81D360E8EC28DF" ma:contentTypeVersion="14" ma:contentTypeDescription="Create a new document." ma:contentTypeScope="" ma:versionID="27debc36873ec148a9f4fc7174f4a13e">
  <xsd:schema xmlns:xsd="http://www.w3.org/2001/XMLSchema" xmlns:xs="http://www.w3.org/2001/XMLSchema" xmlns:p="http://schemas.microsoft.com/office/2006/metadata/properties" xmlns:ns3="580d1518-9a38-4efc-9256-c61c5ecdae13" xmlns:ns4="62775453-3938-4fc9-879a-0b66d953608e" targetNamespace="http://schemas.microsoft.com/office/2006/metadata/properties" ma:root="true" ma:fieldsID="c29a525084485e219bf7f171ab5ec2e6" ns3:_="" ns4:_="">
    <xsd:import namespace="580d1518-9a38-4efc-9256-c61c5ecdae13"/>
    <xsd:import namespace="62775453-3938-4fc9-879a-0b66d953608e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_activity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ObjectDetectorVersions" minOccurs="0"/>
                <xsd:element ref="ns4:MediaServiceDateTaken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0d1518-9a38-4efc-9256-c61c5ecdae1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775453-3938-4fc9-879a-0b66d95360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2775453-3938-4fc9-879a-0b66d953608e" xsi:nil="true"/>
  </documentManagement>
</p:properties>
</file>

<file path=customXml/itemProps1.xml><?xml version="1.0" encoding="utf-8"?>
<ds:datastoreItem xmlns:ds="http://schemas.openxmlformats.org/officeDocument/2006/customXml" ds:itemID="{A317ADF6-C95B-4FB1-80E3-477E07E389D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037943B-1835-422F-B90D-1B8984D26EB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80d1518-9a38-4efc-9256-c61c5ecdae13"/>
    <ds:schemaRef ds:uri="62775453-3938-4fc9-879a-0b66d953608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9B289D8-10C9-4407-AD68-01B7A611F205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62775453-3938-4fc9-879a-0b66d953608e"/>
    <ds:schemaRef ds:uri="580d1518-9a38-4efc-9256-c61c5ecdae13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6c853569-e95e-4378-8926-ab9501a771a3}" enabled="0" method="" siteId="{6c853569-e95e-4378-8926-ab9501a771a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Model (2)</vt:lpstr>
      <vt:lpstr>Sales</vt:lpstr>
      <vt:lpstr>Fixed Order</vt:lpstr>
      <vt:lpstr>Purchase Cost</vt:lpstr>
      <vt:lpstr>Data</vt:lpstr>
      <vt:lpstr>Model</vt:lpstr>
      <vt:lpstr>Sawtooth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Addison Morin</cp:lastModifiedBy>
  <dcterms:created xsi:type="dcterms:W3CDTF">2025-04-23T22:47:12Z</dcterms:created>
  <dcterms:modified xsi:type="dcterms:W3CDTF">2025-04-24T15:22:58Z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0x010100C0C45F8C38E2F7449B81D360E8EC28DF</vt:lpwstr>
  </property>
</Properties>
</file>