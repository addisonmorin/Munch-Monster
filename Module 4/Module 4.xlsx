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bryantu-my.sharepoint.com/personal/amorin6_bryant_edu/Documents/"/>
    </mc:Choice>
  </mc:AlternateContent>
  <xr:revisionPtr revIDLastSave="0" documentId="8_{5980E3AF-E2B2-40D2-8A69-8C8DCAAC37EA}" xr6:coauthVersionLast="47" xr6:coauthVersionMax="47" xr10:uidLastSave="{00000000-0000-0000-0000-000000000000}"/>
  <bookViews>
    <workbookView xWindow="-110" yWindow="-110" windowWidth="19420" windowHeight="10300" firstSheet="1" activeTab="1" xr2:uid="{01786918-8B9F-4FF1-BAA8-81BC056A240A}"/>
  </bookViews>
  <sheets>
    <sheet name="{Munch Monster}_Module04_Paymen" sheetId="1" r:id="rId1"/>
    <sheet name="Model" sheetId="3" r:id="rId2"/>
  </sheets>
  <externalReferences>
    <externalReference r:id="rId3"/>
  </externalReferences>
  <definedNames>
    <definedName name="Amount">[1]Solution!$D$6:$D$17</definedName>
    <definedName name="Inflow">[1]Solution!$B$6:$B$17</definedName>
    <definedName name="solver_adj" localSheetId="1" hidden="1">Model!$D$3:$D$23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Model!$D$3:$D$23</definedName>
    <definedName name="solver_lhs2" localSheetId="1" hidden="1">Model!$G$24:$O$24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Model!$G$24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hs1" localSheetId="1" hidden="1">0</definedName>
    <definedName name="solver_rhs2" localSheetId="1" hidden="1">Model!$G$25:$O$25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" l="1"/>
  <c r="E19" i="3"/>
  <c r="E20" i="3"/>
  <c r="E21" i="3"/>
  <c r="E22" i="3"/>
  <c r="E23" i="3"/>
  <c r="C18" i="3"/>
  <c r="C19" i="3"/>
  <c r="C20" i="3"/>
  <c r="C21" i="3"/>
  <c r="C22" i="3"/>
  <c r="C23" i="3"/>
  <c r="D24" i="3"/>
  <c r="R6" i="3" s="1"/>
  <c r="Q6" i="3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3" i="3"/>
  <c r="C12" i="3"/>
  <c r="C13" i="3"/>
  <c r="C14" i="3"/>
  <c r="C15" i="3"/>
  <c r="C16" i="3"/>
  <c r="C17" i="3"/>
  <c r="C4" i="3"/>
  <c r="C5" i="3"/>
  <c r="C6" i="3"/>
  <c r="C7" i="3"/>
  <c r="C8" i="3"/>
  <c r="C9" i="3"/>
  <c r="F9" i="3" s="1" a="1"/>
  <c r="F9" i="3" s="1"/>
  <c r="C10" i="3"/>
  <c r="C11" i="3"/>
  <c r="C3" i="3"/>
  <c r="H17" i="3" l="1" a="1"/>
  <c r="H17" i="3" s="1"/>
  <c r="M17" i="3" a="1"/>
  <c r="M17" i="3" s="1"/>
  <c r="N17" i="3" a="1"/>
  <c r="N17" i="3" s="1"/>
  <c r="O17" i="3" a="1"/>
  <c r="O17" i="3" s="1"/>
  <c r="O16" i="3" a="1"/>
  <c r="O16" i="3" s="1"/>
  <c r="O14" i="3" a="1"/>
  <c r="O14" i="3" s="1"/>
  <c r="M23" i="3" a="1"/>
  <c r="M23" i="3" s="1"/>
  <c r="L23" i="3" a="1"/>
  <c r="L23" i="3" s="1"/>
  <c r="N21" i="3" a="1"/>
  <c r="N21" i="3" s="1"/>
  <c r="O21" i="3" a="1"/>
  <c r="O21" i="3" s="1"/>
  <c r="M20" i="3" a="1"/>
  <c r="M20" i="3" s="1"/>
  <c r="N20" i="3" a="1"/>
  <c r="N20" i="3" s="1"/>
  <c r="M19" i="3" a="1"/>
  <c r="M19" i="3" s="1"/>
  <c r="O19" i="3" a="1"/>
  <c r="O19" i="3" s="1"/>
  <c r="L19" i="3" a="1"/>
  <c r="L19" i="3" s="1"/>
  <c r="N18" i="3" a="1"/>
  <c r="N18" i="3" s="1"/>
  <c r="O18" i="3" a="1"/>
  <c r="O18" i="3" s="1"/>
  <c r="L18" i="3" a="1"/>
  <c r="L18" i="3" s="1"/>
  <c r="N23" i="3" a="1"/>
  <c r="N23" i="3" s="1"/>
  <c r="M22" i="3" a="1"/>
  <c r="M22" i="3" s="1"/>
  <c r="M21" i="3" a="1"/>
  <c r="M21" i="3" s="1"/>
  <c r="O20" i="3" a="1"/>
  <c r="O20" i="3" s="1"/>
  <c r="N19" i="3" a="1"/>
  <c r="N19" i="3" s="1"/>
  <c r="M18" i="3" a="1"/>
  <c r="M18" i="3" s="1"/>
  <c r="J16" i="3" a="1"/>
  <c r="J16" i="3" s="1"/>
  <c r="H16" i="3" a="1"/>
  <c r="H16" i="3" s="1"/>
  <c r="F12" i="3" a="1"/>
  <c r="F12" i="3" s="1"/>
  <c r="I16" i="3" a="1"/>
  <c r="I16" i="3" s="1"/>
  <c r="J15" i="3" a="1"/>
  <c r="J15" i="3" s="1"/>
  <c r="G14" i="3" a="1"/>
  <c r="G14" i="3" s="1"/>
  <c r="L22" i="3" a="1"/>
  <c r="L22" i="3" s="1"/>
  <c r="O22" i="3" a="1"/>
  <c r="O22" i="3" s="1"/>
  <c r="M7" i="3" a="1"/>
  <c r="M7" i="3" s="1"/>
  <c r="L21" i="3" a="1"/>
  <c r="L21" i="3" s="1"/>
  <c r="O23" i="3" a="1"/>
  <c r="O23" i="3" s="1"/>
  <c r="N22" i="3" a="1"/>
  <c r="N22" i="3" s="1"/>
  <c r="J3" i="3" a="1"/>
  <c r="J3" i="3" s="1"/>
  <c r="L20" i="3" a="1"/>
  <c r="L20" i="3" s="1"/>
  <c r="N4" i="3" a="1"/>
  <c r="N4" i="3" s="1"/>
  <c r="I11" i="3" a="1"/>
  <c r="I11" i="3" s="1"/>
  <c r="J23" i="3" a="1"/>
  <c r="J23" i="3" s="1"/>
  <c r="G10" i="3" a="1"/>
  <c r="G10" i="3" s="1"/>
  <c r="I23" i="3" a="1"/>
  <c r="I23" i="3" s="1"/>
  <c r="I9" i="3" a="1"/>
  <c r="I9" i="3" s="1"/>
  <c r="H23" i="3" a="1"/>
  <c r="H23" i="3" s="1"/>
  <c r="L10" i="3" a="1"/>
  <c r="L10" i="3" s="1"/>
  <c r="J8" i="3" a="1"/>
  <c r="J8" i="3" s="1"/>
  <c r="I17" i="3" a="1"/>
  <c r="I17" i="3" s="1"/>
  <c r="L9" i="3" a="1"/>
  <c r="L9" i="3" s="1"/>
  <c r="G17" i="3" a="1"/>
  <c r="G17" i="3" s="1"/>
  <c r="F8" i="3" a="1"/>
  <c r="F8" i="3" s="1"/>
  <c r="M14" i="3" a="1"/>
  <c r="M14" i="3" s="1"/>
  <c r="K10" i="3" a="1"/>
  <c r="K10" i="3" s="1"/>
  <c r="K7" i="3" a="1"/>
  <c r="K7" i="3" s="1"/>
  <c r="F7" i="3" a="1"/>
  <c r="F7" i="3" s="1"/>
  <c r="N16" i="3" a="1"/>
  <c r="N16" i="3" s="1"/>
  <c r="G16" i="3" a="1"/>
  <c r="G16" i="3" s="1"/>
  <c r="H14" i="3" a="1"/>
  <c r="H14" i="3" s="1"/>
  <c r="J10" i="3" a="1"/>
  <c r="J10" i="3" s="1"/>
  <c r="H9" i="3" a="1"/>
  <c r="H9" i="3" s="1"/>
  <c r="G7" i="3" a="1"/>
  <c r="G7" i="3" s="1"/>
  <c r="N14" i="3" a="1"/>
  <c r="N14" i="3" s="1"/>
  <c r="L7" i="3" a="1"/>
  <c r="L7" i="3" s="1"/>
  <c r="K9" i="3" a="1"/>
  <c r="K9" i="3" s="1"/>
  <c r="F17" i="3" a="1"/>
  <c r="F17" i="3" s="1"/>
  <c r="L15" i="3" a="1"/>
  <c r="L15" i="3" s="1"/>
  <c r="I10" i="3" a="1"/>
  <c r="I10" i="3" s="1"/>
  <c r="G9" i="3" a="1"/>
  <c r="G9" i="3" s="1"/>
  <c r="H10" i="3" a="1"/>
  <c r="H10" i="3" s="1"/>
  <c r="L17" i="3" a="1"/>
  <c r="L17" i="3" s="1"/>
  <c r="M16" i="3" a="1"/>
  <c r="M16" i="3" s="1"/>
  <c r="K15" i="3" a="1"/>
  <c r="K15" i="3" s="1"/>
  <c r="O9" i="3" a="1"/>
  <c r="O9" i="3" s="1"/>
  <c r="O8" i="3" a="1"/>
  <c r="O8" i="3" s="1"/>
  <c r="J9" i="3" a="1"/>
  <c r="J9" i="3" s="1"/>
  <c r="F16" i="3" a="1"/>
  <c r="F16" i="3" s="1"/>
  <c r="K17" i="3" a="1"/>
  <c r="K17" i="3" s="1"/>
  <c r="L16" i="3" a="1"/>
  <c r="L16" i="3" s="1"/>
  <c r="J11" i="3" a="1"/>
  <c r="J11" i="3" s="1"/>
  <c r="N9" i="3" a="1"/>
  <c r="N9" i="3" s="1"/>
  <c r="K8" i="3" a="1"/>
  <c r="K8" i="3" s="1"/>
  <c r="K23" i="3" a="1"/>
  <c r="K23" i="3" s="1"/>
  <c r="J17" i="3" a="1"/>
  <c r="J17" i="3" s="1"/>
  <c r="K16" i="3" a="1"/>
  <c r="K16" i="3" s="1"/>
  <c r="M9" i="3" a="1"/>
  <c r="M9" i="3" s="1"/>
  <c r="K6" i="3" a="1"/>
  <c r="K6" i="3" s="1"/>
  <c r="L6" i="3" a="1"/>
  <c r="L6" i="3" s="1"/>
  <c r="F6" i="3" a="1"/>
  <c r="F6" i="3" s="1"/>
  <c r="G6" i="3" a="1"/>
  <c r="G6" i="3" s="1"/>
  <c r="M6" i="3" a="1"/>
  <c r="M6" i="3" s="1"/>
  <c r="L13" i="3" a="1"/>
  <c r="L13" i="3" s="1"/>
  <c r="H13" i="3" a="1"/>
  <c r="H13" i="3" s="1"/>
  <c r="G13" i="3" a="1"/>
  <c r="G13" i="3" s="1"/>
  <c r="M13" i="3" a="1"/>
  <c r="M13" i="3" s="1"/>
  <c r="N13" i="3" a="1"/>
  <c r="N13" i="3" s="1"/>
  <c r="I6" i="3" a="1"/>
  <c r="I6" i="3" s="1"/>
  <c r="G5" i="3" a="1"/>
  <c r="G5" i="3" s="1"/>
  <c r="M5" i="3" a="1"/>
  <c r="M5" i="3" s="1"/>
  <c r="F5" i="3" a="1"/>
  <c r="F5" i="3" s="1"/>
  <c r="H5" i="3" a="1"/>
  <c r="H5" i="3" s="1"/>
  <c r="N5" i="3" a="1"/>
  <c r="N5" i="3" s="1"/>
  <c r="O5" i="3" a="1"/>
  <c r="O5" i="3" s="1"/>
  <c r="I5" i="3" a="1"/>
  <c r="I5" i="3" s="1"/>
  <c r="H12" i="3" a="1"/>
  <c r="H12" i="3" s="1"/>
  <c r="N12" i="3" a="1"/>
  <c r="N12" i="3" s="1"/>
  <c r="I12" i="3" a="1"/>
  <c r="I12" i="3" s="1"/>
  <c r="O12" i="3" a="1"/>
  <c r="O12" i="3" s="1"/>
  <c r="J12" i="3" a="1"/>
  <c r="J12" i="3" s="1"/>
  <c r="M12" i="3" a="1"/>
  <c r="M12" i="3" s="1"/>
  <c r="H6" i="3" a="1"/>
  <c r="H6" i="3" s="1"/>
  <c r="L3" i="3" a="1"/>
  <c r="L3" i="3" s="1"/>
  <c r="M3" i="3" a="1"/>
  <c r="M3" i="3" s="1"/>
  <c r="G3" i="3" a="1"/>
  <c r="G3" i="3" s="1"/>
  <c r="N3" i="3" a="1"/>
  <c r="N3" i="3" s="1"/>
  <c r="H3" i="3" a="1"/>
  <c r="H3" i="3" s="1"/>
  <c r="F3" i="3" a="1"/>
  <c r="F3" i="3" s="1"/>
  <c r="J4" i="3" a="1"/>
  <c r="J4" i="3" s="1"/>
  <c r="K4" i="3" a="1"/>
  <c r="K4" i="3" s="1"/>
  <c r="L4" i="3" a="1"/>
  <c r="L4" i="3" s="1"/>
  <c r="M11" i="3" a="1"/>
  <c r="M11" i="3" s="1"/>
  <c r="F11" i="3" a="1"/>
  <c r="F11" i="3" s="1"/>
  <c r="L12" i="3" a="1"/>
  <c r="L12" i="3" s="1"/>
  <c r="H11" i="3" a="1"/>
  <c r="H11" i="3" s="1"/>
  <c r="M4" i="3" a="1"/>
  <c r="M4" i="3" s="1"/>
  <c r="I3" i="3" a="1"/>
  <c r="I3" i="3" s="1"/>
  <c r="K11" i="3" a="1"/>
  <c r="K11" i="3" s="1"/>
  <c r="O13" i="3" a="1"/>
  <c r="O13" i="3" s="1"/>
  <c r="K12" i="3" a="1"/>
  <c r="K12" i="3" s="1"/>
  <c r="G11" i="3" a="1"/>
  <c r="G11" i="3" s="1"/>
  <c r="I4" i="3" a="1"/>
  <c r="I4" i="3" s="1"/>
  <c r="K13" i="3" a="1"/>
  <c r="K13" i="3" s="1"/>
  <c r="G12" i="3" a="1"/>
  <c r="G12" i="3" s="1"/>
  <c r="L5" i="3" a="1"/>
  <c r="L5" i="3" s="1"/>
  <c r="H4" i="3" a="1"/>
  <c r="H4" i="3" s="1"/>
  <c r="J13" i="3" a="1"/>
  <c r="J13" i="3" s="1"/>
  <c r="O11" i="3" a="1"/>
  <c r="O11" i="3" s="1"/>
  <c r="O6" i="3" a="1"/>
  <c r="O6" i="3" s="1"/>
  <c r="K5" i="3" a="1"/>
  <c r="K5" i="3" s="1"/>
  <c r="G4" i="3" a="1"/>
  <c r="G4" i="3" s="1"/>
  <c r="L8" i="3" a="1"/>
  <c r="L8" i="3" s="1"/>
  <c r="M8" i="3" a="1"/>
  <c r="M8" i="3" s="1"/>
  <c r="G8" i="3" a="1"/>
  <c r="G8" i="3" s="1"/>
  <c r="H8" i="3" a="1"/>
  <c r="H8" i="3" s="1"/>
  <c r="N8" i="3" a="1"/>
  <c r="N8" i="3" s="1"/>
  <c r="M15" i="3" a="1"/>
  <c r="M15" i="3" s="1"/>
  <c r="G15" i="3" a="1"/>
  <c r="G15" i="3" s="1"/>
  <c r="N15" i="3" a="1"/>
  <c r="N15" i="3" s="1"/>
  <c r="I15" i="3" a="1"/>
  <c r="I15" i="3" s="1"/>
  <c r="O15" i="3" a="1"/>
  <c r="O15" i="3" s="1"/>
  <c r="H15" i="3" a="1"/>
  <c r="H15" i="3" s="1"/>
  <c r="F15" i="3" a="1"/>
  <c r="F15" i="3" s="1"/>
  <c r="F13" i="3" a="1"/>
  <c r="F13" i="3" s="1"/>
  <c r="I13" i="3" a="1"/>
  <c r="I13" i="3" s="1"/>
  <c r="I8" i="3" a="1"/>
  <c r="I8" i="3" s="1"/>
  <c r="N6" i="3" a="1"/>
  <c r="N6" i="3" s="1"/>
  <c r="J5" i="3" a="1"/>
  <c r="J5" i="3" s="1"/>
  <c r="O3" i="3" a="1"/>
  <c r="O3" i="3" s="1"/>
  <c r="H7" i="3" a="1"/>
  <c r="H7" i="3" s="1"/>
  <c r="I7" i="3" a="1"/>
  <c r="I7" i="3" s="1"/>
  <c r="O7" i="3" a="1"/>
  <c r="O7" i="3" s="1"/>
  <c r="J7" i="3" a="1"/>
  <c r="J7" i="3" s="1"/>
  <c r="I14" i="3" a="1"/>
  <c r="I14" i="3" s="1"/>
  <c r="J14" i="3" a="1"/>
  <c r="J14" i="3" s="1"/>
  <c r="F14" i="3" a="1"/>
  <c r="F14" i="3" s="1"/>
  <c r="K14" i="3" a="1"/>
  <c r="K14" i="3" s="1"/>
  <c r="F4" i="3" a="1"/>
  <c r="F4" i="3" s="1"/>
  <c r="L14" i="3" a="1"/>
  <c r="L14" i="3" s="1"/>
  <c r="N11" i="3" a="1"/>
  <c r="N11" i="3" s="1"/>
  <c r="N7" i="3" a="1"/>
  <c r="N7" i="3" s="1"/>
  <c r="J6" i="3" a="1"/>
  <c r="J6" i="3" s="1"/>
  <c r="O4" i="3" a="1"/>
  <c r="O4" i="3" s="1"/>
  <c r="K3" i="3" a="1"/>
  <c r="K3" i="3" s="1"/>
  <c r="L11" i="3" a="1"/>
  <c r="L11" i="3" s="1"/>
  <c r="O10" i="3" a="1"/>
  <c r="O10" i="3" s="1"/>
  <c r="G23" i="3" a="1"/>
  <c r="G23" i="3" s="1"/>
  <c r="F23" i="3" a="1"/>
  <c r="F23" i="3" s="1"/>
  <c r="F10" i="3" a="1"/>
  <c r="F10" i="3" s="1"/>
  <c r="N10" i="3" a="1"/>
  <c r="N10" i="3" s="1"/>
  <c r="M10" i="3" a="1"/>
  <c r="M10" i="3" s="1"/>
  <c r="J24" i="3" l="1"/>
  <c r="K24" i="3"/>
  <c r="N24" i="3"/>
  <c r="H24" i="3"/>
  <c r="G24" i="3"/>
  <c r="M24" i="3"/>
  <c r="L24" i="3"/>
  <c r="O24" i="3"/>
  <c r="I2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<sst xmlns="http://schemas.openxmlformats.org/spreadsheetml/2006/main" count="71" uniqueCount="29">
  <si>
    <t>final_payment_start_of_year</t>
  </si>
  <si>
    <t>first_payment_year</t>
  </si>
  <si>
    <t>second_payment_year</t>
  </si>
  <si>
    <t>investment_name</t>
  </si>
  <si>
    <t>investment_pct</t>
  </si>
  <si>
    <t>month_can_start_investing</t>
  </si>
  <si>
    <t>years to maturity</t>
  </si>
  <si>
    <t>A</t>
  </si>
  <si>
    <t>Chocolate Chip Capital</t>
  </si>
  <si>
    <t>B</t>
  </si>
  <si>
    <t>Peppermint Profit Partners</t>
  </si>
  <si>
    <t>C</t>
  </si>
  <si>
    <t>RockCandy Returns</t>
  </si>
  <si>
    <t>D</t>
  </si>
  <si>
    <t>SourPatch Portfolio Group</t>
  </si>
  <si>
    <t>E</t>
  </si>
  <si>
    <t>Toffee Turnaround Trust</t>
  </si>
  <si>
    <t>Investment</t>
  </si>
  <si>
    <t>Inflow</t>
  </si>
  <si>
    <t>Outflow</t>
  </si>
  <si>
    <t>Amount</t>
  </si>
  <si>
    <t>Return</t>
  </si>
  <si>
    <t>Could Have</t>
  </si>
  <si>
    <t>Savings</t>
  </si>
  <si>
    <t>Out of Pocket</t>
  </si>
  <si>
    <t>Months to Mature</t>
  </si>
  <si>
    <t>Total Invested in Month 1 -&gt;</t>
  </si>
  <si>
    <t>Surplus Funds</t>
  </si>
  <si>
    <t>Req'd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</si>
</sst>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&quot;$&quot;#,##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44" fontId="0" fillId="0" borderId="0" xfId="0" applyNumberFormat="1"/>
    <xf numFmtId="0" fontId="16" fillId="33" borderId="11" xfId="0" applyFont="1" applyFill="1" applyBorder="1" applyAlignment="1">
      <alignment horizontal="center"/>
    </xf>
    <xf numFmtId="44" fontId="18" fillId="35" borderId="13" xfId="1" applyFont="1" applyFill="1" applyBorder="1"/>
    <xf numFmtId="165" fontId="16" fillId="0" borderId="0" xfId="1" applyNumberFormat="1" applyFont="1" applyAlignment="1">
      <alignment horizontal="center"/>
    </xf>
    <xf numFmtId="0" fontId="0" fillId="0" borderId="21" xfId="0" applyBorder="1"/>
    <xf numFmtId="0" fontId="1" fillId="26" borderId="16" xfId="37" applyBorder="1" applyAlignment="1">
      <alignment horizontal="center"/>
    </xf>
    <xf numFmtId="0" fontId="1" fillId="26" borderId="17" xfId="37" applyBorder="1" applyAlignment="1">
      <alignment horizontal="center"/>
    </xf>
    <xf numFmtId="0" fontId="1" fillId="14" borderId="18" xfId="25" applyBorder="1" applyAlignment="1">
      <alignment horizontal="center"/>
    </xf>
    <xf numFmtId="0" fontId="1" fillId="14" borderId="19" xfId="25" applyBorder="1" applyAlignment="1">
      <alignment horizontal="center"/>
    </xf>
    <xf numFmtId="0" fontId="16" fillId="33" borderId="24" xfId="0" applyFont="1" applyFill="1" applyBorder="1" applyAlignment="1">
      <alignment horizontal="center"/>
    </xf>
    <xf numFmtId="0" fontId="16" fillId="33" borderId="25" xfId="0" applyFont="1" applyFill="1" applyBorder="1" applyAlignment="1">
      <alignment horizontal="center"/>
    </xf>
    <xf numFmtId="0" fontId="1" fillId="26" borderId="15" xfId="37" applyBorder="1" applyAlignment="1">
      <alignment horizontal="center"/>
    </xf>
    <xf numFmtId="0" fontId="1" fillId="26" borderId="31" xfId="37" applyBorder="1" applyAlignment="1">
      <alignment horizontal="center"/>
    </xf>
    <xf numFmtId="0" fontId="1" fillId="26" borderId="32" xfId="37" applyBorder="1" applyAlignment="1">
      <alignment horizontal="center"/>
    </xf>
    <xf numFmtId="0" fontId="1" fillId="26" borderId="14" xfId="37" applyBorder="1" applyAlignment="1">
      <alignment horizontal="center"/>
    </xf>
    <xf numFmtId="0" fontId="1" fillId="26" borderId="34" xfId="37" applyBorder="1" applyAlignment="1">
      <alignment horizontal="center"/>
    </xf>
    <xf numFmtId="0" fontId="1" fillId="26" borderId="35" xfId="37" applyBorder="1" applyAlignment="1">
      <alignment horizontal="center"/>
    </xf>
    <xf numFmtId="0" fontId="1" fillId="26" borderId="22" xfId="37" applyBorder="1" applyAlignment="1">
      <alignment horizontal="center"/>
    </xf>
    <xf numFmtId="0" fontId="1" fillId="22" borderId="29" xfId="33" applyBorder="1" applyAlignment="1">
      <alignment horizontal="center"/>
    </xf>
    <xf numFmtId="0" fontId="1" fillId="22" borderId="30" xfId="33" applyBorder="1" applyAlignment="1">
      <alignment horizontal="center"/>
    </xf>
    <xf numFmtId="0" fontId="1" fillId="22" borderId="32" xfId="33" applyBorder="1" applyAlignment="1">
      <alignment horizontal="center"/>
    </xf>
    <xf numFmtId="0" fontId="1" fillId="22" borderId="36" xfId="33" applyBorder="1" applyAlignment="1">
      <alignment horizontal="center"/>
    </xf>
    <xf numFmtId="0" fontId="1" fillId="22" borderId="37" xfId="33" applyBorder="1" applyAlignment="1">
      <alignment horizontal="center"/>
    </xf>
    <xf numFmtId="0" fontId="1" fillId="22" borderId="22" xfId="33" applyBorder="1" applyAlignment="1">
      <alignment horizontal="center"/>
    </xf>
    <xf numFmtId="0" fontId="1" fillId="14" borderId="15" xfId="25" applyBorder="1" applyAlignment="1">
      <alignment horizontal="center"/>
    </xf>
    <xf numFmtId="0" fontId="1" fillId="14" borderId="31" xfId="25" applyBorder="1" applyAlignment="1">
      <alignment horizontal="center"/>
    </xf>
    <xf numFmtId="0" fontId="1" fillId="14" borderId="32" xfId="25" applyBorder="1" applyAlignment="1">
      <alignment horizontal="center"/>
    </xf>
    <xf numFmtId="0" fontId="1" fillId="14" borderId="14" xfId="25" applyBorder="1" applyAlignment="1">
      <alignment horizontal="center"/>
    </xf>
    <xf numFmtId="0" fontId="1" fillId="14" borderId="36" xfId="25" applyBorder="1" applyAlignment="1">
      <alignment horizontal="center"/>
    </xf>
    <xf numFmtId="0" fontId="1" fillId="14" borderId="37" xfId="25" applyBorder="1" applyAlignment="1">
      <alignment horizontal="center"/>
    </xf>
    <xf numFmtId="0" fontId="1" fillId="14" borderId="22" xfId="25" applyBorder="1" applyAlignment="1">
      <alignment horizontal="center"/>
    </xf>
    <xf numFmtId="0" fontId="1" fillId="18" borderId="10" xfId="29" applyBorder="1" applyAlignment="1">
      <alignment horizontal="center"/>
    </xf>
    <xf numFmtId="0" fontId="1" fillId="18" borderId="11" xfId="29" applyBorder="1" applyAlignment="1">
      <alignment horizontal="center"/>
    </xf>
    <xf numFmtId="0" fontId="1" fillId="18" borderId="12" xfId="29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27" xfId="2" applyNumberFormat="1" applyFont="1" applyBorder="1"/>
    <xf numFmtId="0" fontId="1" fillId="27" borderId="34" xfId="38" applyBorder="1" applyAlignment="1">
      <alignment horizontal="center"/>
    </xf>
    <xf numFmtId="0" fontId="1" fillId="27" borderId="35" xfId="38" applyBorder="1" applyAlignment="1">
      <alignment horizontal="center"/>
    </xf>
    <xf numFmtId="0" fontId="1" fillId="27" borderId="12" xfId="38" applyBorder="1" applyAlignment="1">
      <alignment horizontal="center"/>
    </xf>
    <xf numFmtId="0" fontId="1" fillId="15" borderId="11" xfId="26" applyBorder="1" applyAlignment="1">
      <alignment horizontal="center"/>
    </xf>
    <xf numFmtId="0" fontId="1" fillId="15" borderId="27" xfId="26" applyBorder="1" applyAlignment="1">
      <alignment horizontal="center"/>
    </xf>
    <xf numFmtId="0" fontId="1" fillId="19" borderId="12" xfId="30" applyBorder="1" applyAlignment="1">
      <alignment horizontal="center"/>
    </xf>
    <xf numFmtId="0" fontId="1" fillId="24" borderId="27" xfId="35" applyBorder="1" applyAlignment="1">
      <alignment horizontal="center"/>
    </xf>
    <xf numFmtId="0" fontId="1" fillId="24" borderId="11" xfId="35" applyBorder="1" applyAlignment="1">
      <alignment horizontal="center"/>
    </xf>
    <xf numFmtId="0" fontId="1" fillId="24" borderId="12" xfId="35" applyBorder="1" applyAlignment="1">
      <alignment horizontal="center"/>
    </xf>
    <xf numFmtId="0" fontId="1" fillId="27" borderId="15" xfId="38" applyBorder="1" applyAlignment="1">
      <alignment horizontal="center"/>
    </xf>
    <xf numFmtId="0" fontId="1" fillId="27" borderId="31" xfId="38" applyBorder="1" applyAlignment="1">
      <alignment horizontal="center"/>
    </xf>
    <xf numFmtId="9" fontId="0" fillId="0" borderId="28" xfId="2" applyFont="1" applyBorder="1"/>
    <xf numFmtId="0" fontId="0" fillId="0" borderId="20" xfId="0" applyBorder="1" applyAlignment="1">
      <alignment horizontal="center"/>
    </xf>
    <xf numFmtId="9" fontId="0" fillId="0" borderId="22" xfId="2" applyFont="1" applyBorder="1"/>
    <xf numFmtId="44" fontId="20" fillId="35" borderId="21" xfId="1" applyFont="1" applyFill="1" applyBorder="1"/>
    <xf numFmtId="44" fontId="19" fillId="35" borderId="20" xfId="1" applyFont="1" applyFill="1" applyBorder="1"/>
    <xf numFmtId="0" fontId="16" fillId="34" borderId="23" xfId="0" applyFont="1" applyFill="1" applyBorder="1" applyAlignment="1">
      <alignment horizontal="center"/>
    </xf>
    <xf numFmtId="1" fontId="0" fillId="0" borderId="23" xfId="1" applyNumberFormat="1" applyFont="1" applyBorder="1" applyAlignment="1">
      <alignment horizontal="center"/>
    </xf>
    <xf numFmtId="0" fontId="1" fillId="27" borderId="24" xfId="38" applyBorder="1" applyAlignment="1">
      <alignment horizontal="center"/>
    </xf>
    <xf numFmtId="0" fontId="1" fillId="27" borderId="25" xfId="38" applyBorder="1" applyAlignment="1">
      <alignment horizontal="center"/>
    </xf>
    <xf numFmtId="0" fontId="1" fillId="24" borderId="21" xfId="35" applyBorder="1" applyAlignment="1">
      <alignment horizontal="center"/>
    </xf>
    <xf numFmtId="0" fontId="1" fillId="19" borderId="38" xfId="30" applyBorder="1" applyAlignment="1">
      <alignment horizontal="center"/>
    </xf>
    <xf numFmtId="0" fontId="1" fillId="19" borderId="39" xfId="30" applyBorder="1" applyAlignment="1">
      <alignment horizontal="center"/>
    </xf>
    <xf numFmtId="0" fontId="1" fillId="19" borderId="33" xfId="30" applyBorder="1" applyAlignment="1">
      <alignment horizontal="center"/>
    </xf>
    <xf numFmtId="0" fontId="1" fillId="19" borderId="40" xfId="30" applyBorder="1" applyAlignment="1">
      <alignment horizontal="center"/>
    </xf>
    <xf numFmtId="0" fontId="1" fillId="30" borderId="27" xfId="41" applyBorder="1" applyAlignment="1">
      <alignment horizontal="center"/>
    </xf>
    <xf numFmtId="0" fontId="1" fillId="30" borderId="11" xfId="41" applyBorder="1" applyAlignment="1">
      <alignment horizontal="center"/>
    </xf>
    <xf numFmtId="44" fontId="0" fillId="0" borderId="0" xfId="1" applyFont="1"/>
    <xf numFmtId="0" fontId="0" fillId="36" borderId="25" xfId="0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36" borderId="26" xfId="0" applyFill="1" applyBorder="1" applyAlignment="1">
      <alignment horizontal="center" vertical="center"/>
    </xf>
    <xf numFmtId="0" fontId="0" fillId="36" borderId="28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3D-47B4-B16B-741073B5F5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3D-47B4-B16B-741073B5F5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(Model!$P$6,Model!$R$6)</c:f>
              <c:numCache>
                <c:formatCode>_("$"* #,##0.00_);_("$"* \(#,##0.00\);_("$"* "-"??_);_(@_)</c:formatCode>
                <c:ptCount val="2"/>
                <c:pt idx="0">
                  <c:v>1000</c:v>
                </c:pt>
                <c:pt idx="1">
                  <c:v>1110.5116167198773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7-4557-B0AE-665F16D68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195792</xdr:colOff>
      <xdr:row>8</xdr:row>
      <xdr:rowOff>46566</xdr:rowOff>
    </xdr:from>
    <xdr:to>
      <xdr:col>18</xdr:col>
      <xdr:colOff>1539876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F4B55-1DF1-DB9C-5CDE-0606C0D2B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udent\Downloads\Multiperiod%20Cash%20Flow%20Solve%20It.xlsx" TargetMode="External"/><Relationship Id="rId1" Type="http://schemas.openxmlformats.org/officeDocument/2006/relationships/externalLinkPath" Target="file:///C:\Users\student\Downloads\Multiperiod%20Cash%20Flow%20Solve%20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ve It"/>
      <sheetName val="Solution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B1DC-4273-4750-8973-58E6005D6AA0}">
  <dimension ref="A1:I6"/>
  <sheetViews>
    <sheetView zoomScale="90" zoomScaleNormal="90" workbookViewId="0">
      <selection activeCell="I11" sqref="I11"/>
    </sheetView>
  </sheetViews>
  <sheetFormatPr defaultRowHeight="14.45"/>
  <cols>
    <col min="1" max="1" width="23.5703125" bestFit="1" customWidth="1"/>
    <col min="2" max="2" width="16.140625" bestFit="1" customWidth="1"/>
    <col min="3" max="3" width="19" bestFit="1" customWidth="1"/>
    <col min="6" max="6" width="22.42578125" bestFit="1" customWidth="1"/>
    <col min="7" max="7" width="13.42578125" bestFit="1" customWidth="1"/>
    <col min="8" max="8" width="22.7109375" bestFit="1" customWidth="1"/>
    <col min="9" max="9" width="14.5703125" bestFit="1" customWidth="1"/>
  </cols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>
        <v>10</v>
      </c>
      <c r="B2">
        <v>3</v>
      </c>
      <c r="C2">
        <v>6</v>
      </c>
      <c r="E2" t="s">
        <v>7</v>
      </c>
      <c r="F2" t="s">
        <v>8</v>
      </c>
      <c r="G2">
        <v>0.02</v>
      </c>
      <c r="H2">
        <v>1</v>
      </c>
      <c r="I2">
        <v>1</v>
      </c>
    </row>
    <row r="3" spans="1:9">
      <c r="A3">
        <v>500</v>
      </c>
      <c r="B3">
        <v>250</v>
      </c>
      <c r="C3">
        <v>250</v>
      </c>
      <c r="E3" t="s">
        <v>9</v>
      </c>
      <c r="F3" t="s">
        <v>10</v>
      </c>
      <c r="G3">
        <v>4.2200000000000001E-2</v>
      </c>
      <c r="H3">
        <v>1</v>
      </c>
      <c r="I3">
        <v>2</v>
      </c>
    </row>
    <row r="4" spans="1:9">
      <c r="E4" t="s">
        <v>11</v>
      </c>
      <c r="F4" t="s">
        <v>12</v>
      </c>
      <c r="G4">
        <v>6.4600000000000005E-2</v>
      </c>
      <c r="H4">
        <v>2</v>
      </c>
      <c r="I4">
        <v>3</v>
      </c>
    </row>
    <row r="5" spans="1:9">
      <c r="E5" t="s">
        <v>13</v>
      </c>
      <c r="F5" t="s">
        <v>14</v>
      </c>
      <c r="G5">
        <v>8.7099999999999997E-2</v>
      </c>
      <c r="H5">
        <v>3</v>
      </c>
      <c r="I5">
        <v>4</v>
      </c>
    </row>
    <row r="6" spans="1:9">
      <c r="E6" t="s">
        <v>15</v>
      </c>
      <c r="F6" t="s">
        <v>16</v>
      </c>
      <c r="G6">
        <v>0.1095</v>
      </c>
      <c r="H6">
        <v>1</v>
      </c>
      <c r="I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2B2B-67DC-414E-82F7-4322C16052DD}">
  <dimension ref="A1:X46"/>
  <sheetViews>
    <sheetView tabSelected="1" zoomScale="57" zoomScaleNormal="60" workbookViewId="0">
      <selection activeCell="D24" sqref="D24"/>
    </sheetView>
  </sheetViews>
  <sheetFormatPr defaultRowHeight="14.45"/>
  <cols>
    <col min="1" max="1" width="10.28515625" bestFit="1" customWidth="1"/>
    <col min="2" max="2" width="6" bestFit="1" customWidth="1"/>
    <col min="3" max="3" width="7.42578125" bestFit="1" customWidth="1"/>
    <col min="4" max="4" width="16.140625" bestFit="1" customWidth="1"/>
    <col min="5" max="5" width="8.5703125" bestFit="1" customWidth="1"/>
    <col min="6" max="6" width="6.5703125" bestFit="1" customWidth="1"/>
    <col min="7" max="7" width="6.140625" customWidth="1"/>
    <col min="8" max="8" width="9.140625" bestFit="1" customWidth="1"/>
    <col min="9" max="9" width="6.140625" bestFit="1" customWidth="1"/>
    <col min="10" max="10" width="9.140625" bestFit="1" customWidth="1"/>
    <col min="11" max="11" width="9.5703125" bestFit="1" customWidth="1"/>
    <col min="12" max="15" width="9.140625" bestFit="1" customWidth="1"/>
    <col min="16" max="16" width="11.140625" bestFit="1" customWidth="1"/>
    <col min="17" max="17" width="22.85546875" bestFit="1" customWidth="1"/>
    <col min="18" max="18" width="13.42578125" bestFit="1" customWidth="1"/>
    <col min="19" max="19" width="23.140625" bestFit="1" customWidth="1"/>
    <col min="21" max="21" width="22.42578125" bestFit="1" customWidth="1"/>
  </cols>
  <sheetData>
    <row r="1" spans="1:24" ht="15" thickBot="1"/>
    <row r="2" spans="1:24" ht="15" thickBot="1">
      <c r="A2" s="10" t="s">
        <v>17</v>
      </c>
      <c r="B2" s="11" t="s">
        <v>18</v>
      </c>
      <c r="C2" s="11" t="s">
        <v>19</v>
      </c>
      <c r="D2" s="2" t="s">
        <v>20</v>
      </c>
      <c r="E2" s="10" t="s">
        <v>21</v>
      </c>
      <c r="F2" s="53">
        <v>1</v>
      </c>
      <c r="G2" s="53">
        <v>2</v>
      </c>
      <c r="H2" s="53">
        <v>3</v>
      </c>
      <c r="I2" s="53">
        <v>4</v>
      </c>
      <c r="J2" s="53">
        <v>5</v>
      </c>
      <c r="K2" s="53">
        <v>6</v>
      </c>
      <c r="L2" s="53">
        <v>7</v>
      </c>
      <c r="M2" s="53">
        <v>8</v>
      </c>
      <c r="N2" s="53">
        <v>9</v>
      </c>
      <c r="O2" s="53">
        <v>10</v>
      </c>
    </row>
    <row r="3" spans="1:24">
      <c r="A3" s="12" t="s">
        <v>7</v>
      </c>
      <c r="B3" s="13">
        <v>1</v>
      </c>
      <c r="C3" s="14">
        <f>B3+_xlfn.XLOOKUP(A3,T$5:T$9,X$5:X$9)</f>
        <v>2</v>
      </c>
      <c r="D3" s="3">
        <v>0</v>
      </c>
      <c r="E3" s="36">
        <f>_xlfn.XLOOKUP(A3,T$14:T$22, V$14:V$22)</f>
        <v>0.02</v>
      </c>
      <c r="F3" s="54" cm="1">
        <f t="array" ref="F3">_xlfn.IFS($B3=F$2, -1,
$C3=F$2, 1+$E3,
AND($B3&lt;F$2,$C3&gt;F$2), "&lt;---&gt;",
TRUE, ""
)</f>
        <v>-1</v>
      </c>
      <c r="G3" s="54" cm="1">
        <f t="array" ref="G3">_xlfn.IFS($B3=G$2, -1,
$C3=G$2, 1+$E3,
AND($B3&lt;G$2,$C3&gt;G$2), "&lt;---&gt;",
TRUE, ""
)</f>
        <v>1.02</v>
      </c>
      <c r="H3" s="54" t="str" cm="1">
        <f t="array" ref="H3">_xlfn.IFS($B3=H$2, -1,
$C3=H$2, 1+$E3,
AND($B3&lt;H$2,$C3&gt;H$2), "&lt;---&gt;",
TRUE, ""
)</f>
        <v/>
      </c>
      <c r="I3" s="54" t="str" cm="1">
        <f t="array" ref="I3">_xlfn.IFS($B3=I$2, -1,
$C3=I$2, 1+$E3,
AND($B3&lt;I$2,$C3&gt;I$2), "&lt;---&gt;",
TRUE, ""
)</f>
        <v/>
      </c>
      <c r="J3" s="54" t="str" cm="1">
        <f t="array" ref="J3">_xlfn.IFS($B3=J$2, -1,
$C3=J$2, 1+$E3,
AND($B3&lt;J$2,$C3&gt;J$2), "&lt;---&gt;",
TRUE, ""
)</f>
        <v/>
      </c>
      <c r="K3" s="54" t="str" cm="1">
        <f t="array" ref="K3">_xlfn.IFS($B3=K$2, -1,
$C3=K$2, 1+$E3,
AND($B3&lt;K$2,$C3&gt;K$2), "&lt;---&gt;",
TRUE, ""
)</f>
        <v/>
      </c>
      <c r="L3" s="54" t="str" cm="1">
        <f t="array" ref="L3">_xlfn.IFS($B3=L$2, -1,
$C3=L$2, 1+$E3,
AND($B3&lt;L$2,$C3&gt;L$2), "&lt;---&gt;",
TRUE, ""
)</f>
        <v/>
      </c>
      <c r="M3" s="54" t="str" cm="1">
        <f t="array" ref="M3">_xlfn.IFS($B3=M$2, -1,
$C3=M$2, 1+$E3,
AND($B3&lt;M$2,$C3&gt;M$2), "&lt;---&gt;",
TRUE, ""
)</f>
        <v/>
      </c>
      <c r="N3" s="54" t="str" cm="1">
        <f t="array" ref="N3">_xlfn.IFS($B3=N$2, -1,
$C3=N$2, 1+$E3,
AND($B3&lt;N$2,$C3&gt;N$2), "&lt;---&gt;",
TRUE, ""
)</f>
        <v/>
      </c>
      <c r="O3" s="54" t="str" cm="1">
        <f t="array" ref="O3">_xlfn.IFS($B3=O$2, -1,
$C3=O$2, 1+$E3,
AND($B3&lt;O$2,$C3&gt;O$2), "&lt;---&gt;",
TRUE, ""
)</f>
        <v/>
      </c>
    </row>
    <row r="4" spans="1:24">
      <c r="A4" s="6" t="s">
        <v>9</v>
      </c>
      <c r="B4" s="7">
        <v>1</v>
      </c>
      <c r="C4" s="15">
        <f>B4+_xlfn.XLOOKUP(A4,T$5:T$9,X$5:X$9)</f>
        <v>3</v>
      </c>
      <c r="D4" s="3">
        <v>885.18489297044061</v>
      </c>
      <c r="E4" s="36">
        <f>_xlfn.XLOOKUP(A4,T$14:T$22, V$14:V$22)</f>
        <v>4.2200000000000001E-2</v>
      </c>
      <c r="F4" s="54" cm="1">
        <f t="array" ref="F4">_xlfn.IFS($B4=F$2, -1,
$C4=F$2, 1+$E4,
AND($B4&lt;F$2,$C4&gt;F$2), "&lt;---&gt;",
TRUE, ""
)</f>
        <v>-1</v>
      </c>
      <c r="G4" s="54" t="str" cm="1">
        <f t="array" ref="G4">_xlfn.IFS($B4=G$2, -1,
$C4=G$2, 1+$E4,
AND($B4&lt;G$2,$C4&gt;G$2), "&lt;---&gt;",
TRUE, ""
)</f>
        <v>&lt;---&gt;</v>
      </c>
      <c r="H4" s="54" cm="1">
        <f t="array" ref="H4">_xlfn.IFS($B4=H$2, -1,
$C4=H$2, 1+$E4,
AND($B4&lt;H$2,$C4&gt;H$2), "&lt;---&gt;",
TRUE, ""
)</f>
        <v>1.0422</v>
      </c>
      <c r="I4" s="54" t="str" cm="1">
        <f t="array" ref="I4">_xlfn.IFS($B4=I$2, -1,
$C4=I$2, 1+$E4,
AND($B4&lt;I$2,$C4&gt;I$2), "&lt;---&gt;",
TRUE, ""
)</f>
        <v/>
      </c>
      <c r="J4" s="54" t="str" cm="1">
        <f t="array" ref="J4">_xlfn.IFS($B4=J$2, -1,
$C4=J$2, 1+$E4,
AND($B4&lt;J$2,$C4&gt;J$2), "&lt;---&gt;",
TRUE, ""
)</f>
        <v/>
      </c>
      <c r="K4" s="54" t="str" cm="1">
        <f t="array" ref="K4">_xlfn.IFS($B4=K$2, -1,
$C4=K$2, 1+$E4,
AND($B4&lt;K$2,$C4&gt;K$2), "&lt;---&gt;",
TRUE, ""
)</f>
        <v/>
      </c>
      <c r="L4" s="54" t="str" cm="1">
        <f t="array" ref="L4">_xlfn.IFS($B4=L$2, -1,
$C4=L$2, 1+$E4,
AND($B4&lt;L$2,$C4&gt;L$2), "&lt;---&gt;",
TRUE, ""
)</f>
        <v/>
      </c>
      <c r="M4" s="54" t="str" cm="1">
        <f t="array" ref="M4">_xlfn.IFS($B4=M$2, -1,
$C4=M$2, 1+$E4,
AND($B4&lt;M$2,$C4&gt;M$2), "&lt;---&gt;",
TRUE, ""
)</f>
        <v/>
      </c>
      <c r="N4" s="54" t="str" cm="1">
        <f t="array" ref="N4">_xlfn.IFS($B4=N$2, -1,
$C4=N$2, 1+$E4,
AND($B4&lt;N$2,$C4&gt;N$2), "&lt;---&gt;",
TRUE, ""
)</f>
        <v/>
      </c>
      <c r="O4" s="54" t="str" cm="1">
        <f t="array" ref="O4">_xlfn.IFS($B4=O$2, -1,
$C4=O$2, 1+$E4,
AND($B4&lt;O$2,$C4&gt;O$2), "&lt;---&gt;",
TRUE, ""
)</f>
        <v/>
      </c>
      <c r="U4" t="s">
        <v>3</v>
      </c>
      <c r="V4" t="s">
        <v>21</v>
      </c>
      <c r="W4" t="s">
        <v>5</v>
      </c>
      <c r="X4" t="s">
        <v>6</v>
      </c>
    </row>
    <row r="5" spans="1:24" ht="15" thickBot="1">
      <c r="A5" s="16" t="s">
        <v>15</v>
      </c>
      <c r="B5" s="17">
        <v>1</v>
      </c>
      <c r="C5" s="18">
        <f>B5+_xlfn.XLOOKUP(A5,T$5:T$9,X$5:X$9)</f>
        <v>6</v>
      </c>
      <c r="D5" s="3">
        <v>225.3267237494367</v>
      </c>
      <c r="E5" s="36">
        <f>_xlfn.XLOOKUP(A5,T$14:T$22, V$14:V$22)</f>
        <v>0.1095</v>
      </c>
      <c r="F5" s="54" cm="1">
        <f t="array" ref="F5">_xlfn.IFS($B5=F$2, -1,
$C5=F$2, 1+$E5,
AND($B5&lt;F$2,$C5&gt;F$2), "&lt;---&gt;",
TRUE, ""
)</f>
        <v>-1</v>
      </c>
      <c r="G5" s="54" t="str" cm="1">
        <f t="array" ref="G5">_xlfn.IFS($B5=G$2, -1,
$C5=G$2, 1+$E5,
AND($B5&lt;G$2,$C5&gt;G$2), "&lt;---&gt;",
TRUE, ""
)</f>
        <v>&lt;---&gt;</v>
      </c>
      <c r="H5" s="54" t="str" cm="1">
        <f t="array" ref="H5">_xlfn.IFS($B5=H$2, -1,
$C5=H$2, 1+$E5,
AND($B5&lt;H$2,$C5&gt;H$2), "&lt;---&gt;",
TRUE, ""
)</f>
        <v>&lt;---&gt;</v>
      </c>
      <c r="I5" s="54" t="str" cm="1">
        <f t="array" ref="I5">_xlfn.IFS($B5=I$2, -1,
$C5=I$2, 1+$E5,
AND($B5&lt;I$2,$C5&gt;I$2), "&lt;---&gt;",
TRUE, ""
)</f>
        <v>&lt;---&gt;</v>
      </c>
      <c r="J5" s="54" t="str" cm="1">
        <f t="array" ref="J5">_xlfn.IFS($B5=J$2, -1,
$C5=J$2, 1+$E5,
AND($B5&lt;J$2,$C5&gt;J$2), "&lt;---&gt;",
TRUE, ""
)</f>
        <v>&lt;---&gt;</v>
      </c>
      <c r="K5" s="54" cm="1">
        <f t="array" ref="K5">_xlfn.IFS($B5=K$2, -1,
$C5=K$2, 1+$E5,
AND($B5&lt;K$2,$C5&gt;K$2), "&lt;---&gt;",
TRUE, ""
)</f>
        <v>1.1094999999999999</v>
      </c>
      <c r="L5" s="54" t="str" cm="1">
        <f t="array" ref="L5">_xlfn.IFS($B5=L$2, -1,
$C5=L$2, 1+$E5,
AND($B5&lt;L$2,$C5&gt;L$2), "&lt;---&gt;",
TRUE, ""
)</f>
        <v/>
      </c>
      <c r="M5" s="54" t="str" cm="1">
        <f t="array" ref="M5">_xlfn.IFS($B5=M$2, -1,
$C5=M$2, 1+$E5,
AND($B5&lt;M$2,$C5&gt;M$2), "&lt;---&gt;",
TRUE, ""
)</f>
        <v/>
      </c>
      <c r="N5" s="54" t="str" cm="1">
        <f t="array" ref="N5">_xlfn.IFS($B5=N$2, -1,
$C5=N$2, 1+$E5,
AND($B5&lt;N$2,$C5&gt;N$2), "&lt;---&gt;",
TRUE, ""
)</f>
        <v/>
      </c>
      <c r="O5" s="54" t="str" cm="1">
        <f t="array" ref="O5">_xlfn.IFS($B5=O$2, -1,
$C5=O$2, 1+$E5,
AND($B5&lt;O$2,$C5&gt;O$2), "&lt;---&gt;",
TRUE, ""
)</f>
        <v/>
      </c>
      <c r="P5" t="s">
        <v>22</v>
      </c>
      <c r="Q5" t="s">
        <v>23</v>
      </c>
      <c r="R5" t="s">
        <v>24</v>
      </c>
      <c r="T5" t="s">
        <v>7</v>
      </c>
      <c r="U5" t="s">
        <v>8</v>
      </c>
      <c r="V5">
        <v>0.02</v>
      </c>
      <c r="W5">
        <v>1</v>
      </c>
      <c r="X5">
        <v>1</v>
      </c>
    </row>
    <row r="6" spans="1:24">
      <c r="A6" s="19" t="s">
        <v>7</v>
      </c>
      <c r="B6" s="20">
        <v>2</v>
      </c>
      <c r="C6" s="21">
        <f>B6+_xlfn.XLOOKUP(A6,T$5:T$9,X$5:X$9)</f>
        <v>3</v>
      </c>
      <c r="D6" s="3">
        <v>0</v>
      </c>
      <c r="E6" s="36">
        <f>_xlfn.XLOOKUP(A6,T$14:T$22, V$14:V$22)</f>
        <v>0.02</v>
      </c>
      <c r="F6" s="54" t="str" cm="1">
        <f t="array" ref="F6">_xlfn.IFS($B6=F$2, -1,
$C6=F$2, 1+$E6,
AND($B6&lt;F$2,$C6&gt;F$2), "&lt;---&gt;",
TRUE, ""
)</f>
        <v/>
      </c>
      <c r="G6" s="54" cm="1">
        <f t="array" ref="G6">_xlfn.IFS($B6=G$2, -1,
$C6=G$2, 1+$E6,
AND($B6&lt;G$2,$C6&gt;G$2), "&lt;---&gt;",
TRUE, ""
)</f>
        <v>-1</v>
      </c>
      <c r="H6" s="54" cm="1">
        <f t="array" ref="H6">_xlfn.IFS($B6=H$2, -1,
$C6=H$2, 1+$E6,
AND($B6&lt;H$2,$C6&gt;H$2), "&lt;---&gt;",
TRUE, ""
)</f>
        <v>1.02</v>
      </c>
      <c r="I6" s="54" t="str" cm="1">
        <f t="array" ref="I6">_xlfn.IFS($B6=I$2, -1,
$C6=I$2, 1+$E6,
AND($B6&lt;I$2,$C6&gt;I$2), "&lt;---&gt;",
TRUE, ""
)</f>
        <v/>
      </c>
      <c r="J6" s="54" t="str" cm="1">
        <f t="array" ref="J6">_xlfn.IFS($B6=J$2, -1,
$C6=J$2, 1+$E6,
AND($B6&lt;J$2,$C6&gt;J$2), "&lt;---&gt;",
TRUE, ""
)</f>
        <v/>
      </c>
      <c r="K6" s="54" t="str" cm="1">
        <f t="array" ref="K6">_xlfn.IFS($B6=K$2, -1,
$C6=K$2, 1+$E6,
AND($B6&lt;K$2,$C6&gt;K$2), "&lt;---&gt;",
TRUE, ""
)</f>
        <v/>
      </c>
      <c r="L6" s="54" t="str" cm="1">
        <f t="array" ref="L6">_xlfn.IFS($B6=L$2, -1,
$C6=L$2, 1+$E6,
AND($B6&lt;L$2,$C6&gt;L$2), "&lt;---&gt;",
TRUE, ""
)</f>
        <v/>
      </c>
      <c r="M6" s="54" t="str" cm="1">
        <f t="array" ref="M6">_xlfn.IFS($B6=M$2, -1,
$C6=M$2, 1+$E6,
AND($B6&lt;M$2,$C6&gt;M$2), "&lt;---&gt;",
TRUE, ""
)</f>
        <v/>
      </c>
      <c r="N6" s="54" t="str" cm="1">
        <f t="array" ref="N6">_xlfn.IFS($B6=N$2, -1,
$C6=N$2, 1+$E6,
AND($B6&lt;N$2,$C6&gt;N$2), "&lt;---&gt;",
TRUE, ""
)</f>
        <v/>
      </c>
      <c r="O6" s="54" t="str" cm="1">
        <f t="array" ref="O6">_xlfn.IFS($B6=O$2, -1,
$C6=O$2, 1+$E6,
AND($B6&lt;O$2,$C6&gt;O$2), "&lt;---&gt;",
TRUE, ""
)</f>
        <v/>
      </c>
      <c r="P6" s="64">
        <v>1000</v>
      </c>
      <c r="Q6" s="1">
        <f>R6-P6</f>
        <v>110.51161671987734</v>
      </c>
      <c r="R6" s="1">
        <f>D24</f>
        <v>1110.5116167198773</v>
      </c>
      <c r="T6" t="s">
        <v>9</v>
      </c>
      <c r="U6" t="s">
        <v>10</v>
      </c>
      <c r="V6">
        <v>4.2200000000000001E-2</v>
      </c>
      <c r="W6">
        <v>1</v>
      </c>
      <c r="X6">
        <v>2</v>
      </c>
    </row>
    <row r="7" spans="1:24" ht="15" thickBot="1">
      <c r="A7" s="22" t="s">
        <v>11</v>
      </c>
      <c r="B7" s="23">
        <v>2</v>
      </c>
      <c r="C7" s="24">
        <f>B7+_xlfn.XLOOKUP(A7,T$5:T$9,X$5:X$9)</f>
        <v>5</v>
      </c>
      <c r="D7" s="3">
        <v>0</v>
      </c>
      <c r="E7" s="36">
        <f>_xlfn.XLOOKUP(A7,T$14:T$22, V$14:V$22)</f>
        <v>6.4600000000000005E-2</v>
      </c>
      <c r="F7" s="54" t="str" cm="1">
        <f t="array" ref="F7">_xlfn.IFS($B7=F$2, -1,
$C7=F$2, 1+$E7,
AND($B7&lt;F$2,$C7&gt;F$2), "&lt;---&gt;",
TRUE, ""
)</f>
        <v/>
      </c>
      <c r="G7" s="54" cm="1">
        <f t="array" ref="G7">_xlfn.IFS($B7=G$2, -1,
$C7=G$2, 1+$E7,
AND($B7&lt;G$2,$C7&gt;G$2), "&lt;---&gt;",
TRUE, ""
)</f>
        <v>-1</v>
      </c>
      <c r="H7" s="54" t="str" cm="1">
        <f t="array" ref="H7">_xlfn.IFS($B7=H$2, -1,
$C7=H$2, 1+$E7,
AND($B7&lt;H$2,$C7&gt;H$2), "&lt;---&gt;",
TRUE, ""
)</f>
        <v>&lt;---&gt;</v>
      </c>
      <c r="I7" s="54" t="str" cm="1">
        <f t="array" ref="I7">_xlfn.IFS($B7=I$2, -1,
$C7=I$2, 1+$E7,
AND($B7&lt;I$2,$C7&gt;I$2), "&lt;---&gt;",
TRUE, ""
)</f>
        <v>&lt;---&gt;</v>
      </c>
      <c r="J7" s="54" cm="1">
        <f t="array" ref="J7">_xlfn.IFS($B7=J$2, -1,
$C7=J$2, 1+$E7,
AND($B7&lt;J$2,$C7&gt;J$2), "&lt;---&gt;",
TRUE, ""
)</f>
        <v>1.0646</v>
      </c>
      <c r="K7" s="54" t="str" cm="1">
        <f t="array" ref="K7">_xlfn.IFS($B7=K$2, -1,
$C7=K$2, 1+$E7,
AND($B7&lt;K$2,$C7&gt;K$2), "&lt;---&gt;",
TRUE, ""
)</f>
        <v/>
      </c>
      <c r="L7" s="54" t="str" cm="1">
        <f t="array" ref="L7">_xlfn.IFS($B7=L$2, -1,
$C7=L$2, 1+$E7,
AND($B7&lt;L$2,$C7&gt;L$2), "&lt;---&gt;",
TRUE, ""
)</f>
        <v/>
      </c>
      <c r="M7" s="54" t="str" cm="1">
        <f t="array" ref="M7">_xlfn.IFS($B7=M$2, -1,
$C7=M$2, 1+$E7,
AND($B7&lt;M$2,$C7&gt;M$2), "&lt;---&gt;",
TRUE, ""
)</f>
        <v/>
      </c>
      <c r="N7" s="54" t="str" cm="1">
        <f t="array" ref="N7">_xlfn.IFS($B7=N$2, -1,
$C7=N$2, 1+$E7,
AND($B7&lt;N$2,$C7&gt;N$2), "&lt;---&gt;",
TRUE, ""
)</f>
        <v/>
      </c>
      <c r="O7" s="54" t="str" cm="1">
        <f t="array" ref="O7">_xlfn.IFS($B7=O$2, -1,
$C7=O$2, 1+$E7,
AND($B7&lt;O$2,$C7&gt;O$2), "&lt;---&gt;",
TRUE, ""
)</f>
        <v/>
      </c>
      <c r="T7" t="s">
        <v>11</v>
      </c>
      <c r="U7" t="s">
        <v>12</v>
      </c>
      <c r="V7">
        <v>6.4600000000000005E-2</v>
      </c>
      <c r="W7">
        <v>2</v>
      </c>
      <c r="X7">
        <v>3</v>
      </c>
    </row>
    <row r="8" spans="1:24">
      <c r="A8" s="25" t="s">
        <v>7</v>
      </c>
      <c r="B8" s="26">
        <v>3</v>
      </c>
      <c r="C8" s="27">
        <f>B8+_xlfn.XLOOKUP(A8,T$5:T$9,X$5:X$9)</f>
        <v>4</v>
      </c>
      <c r="D8" s="3">
        <v>0</v>
      </c>
      <c r="E8" s="36">
        <f>_xlfn.XLOOKUP(A8,T$14:T$22, V$14:V$22)</f>
        <v>0.02</v>
      </c>
      <c r="F8" s="54" t="str" cm="1">
        <f t="array" ref="F8">_xlfn.IFS($B8=F$2, -1,
$C8=F$2, 1+$E8,
AND($B8&lt;F$2,$C8&gt;F$2), "&lt;---&gt;",
TRUE, ""
)</f>
        <v/>
      </c>
      <c r="G8" s="54" t="str" cm="1">
        <f t="array" ref="G8">_xlfn.IFS($B8=G$2, -1,
$C8=G$2, 1+$E8,
AND($B8&lt;G$2,$C8&gt;G$2), "&lt;---&gt;",
TRUE, ""
)</f>
        <v/>
      </c>
      <c r="H8" s="54" cm="1">
        <f t="array" ref="H8">_xlfn.IFS($B8=H$2, -1,
$C8=H$2, 1+$E8,
AND($B8&lt;H$2,$C8&gt;H$2), "&lt;---&gt;",
TRUE, ""
)</f>
        <v>-1</v>
      </c>
      <c r="I8" s="54" cm="1">
        <f t="array" ref="I8">_xlfn.IFS($B8=I$2, -1,
$C8=I$2, 1+$E8,
AND($B8&lt;I$2,$C8&gt;I$2), "&lt;---&gt;",
TRUE, ""
)</f>
        <v>1.02</v>
      </c>
      <c r="J8" s="54" t="str" cm="1">
        <f t="array" ref="J8">_xlfn.IFS($B8=J$2, -1,
$C8=J$2, 1+$E8,
AND($B8&lt;J$2,$C8&gt;J$2), "&lt;---&gt;",
TRUE, ""
)</f>
        <v/>
      </c>
      <c r="K8" s="54" t="str" cm="1">
        <f t="array" ref="K8">_xlfn.IFS($B8=K$2, -1,
$C8=K$2, 1+$E8,
AND($B8&lt;K$2,$C8&gt;K$2), "&lt;---&gt;",
TRUE, ""
)</f>
        <v/>
      </c>
      <c r="L8" s="54" t="str" cm="1">
        <f t="array" ref="L8">_xlfn.IFS($B8=L$2, -1,
$C8=L$2, 1+$E8,
AND($B8&lt;L$2,$C8&gt;L$2), "&lt;---&gt;",
TRUE, ""
)</f>
        <v/>
      </c>
      <c r="M8" s="54" t="str" cm="1">
        <f t="array" ref="M8">_xlfn.IFS($B8=M$2, -1,
$C8=M$2, 1+$E8,
AND($B8&lt;M$2,$C8&gt;M$2), "&lt;---&gt;",
TRUE, ""
)</f>
        <v/>
      </c>
      <c r="N8" s="54" t="str" cm="1">
        <f t="array" ref="N8">_xlfn.IFS($B8=N$2, -1,
$C8=N$2, 1+$E8,
AND($B8&lt;N$2,$C8&gt;N$2), "&lt;---&gt;",
TRUE, ""
)</f>
        <v/>
      </c>
      <c r="O8" s="54" t="str" cm="1">
        <f t="array" ref="O8">_xlfn.IFS($B8=O$2, -1,
$C8=O$2, 1+$E8,
AND($B8&lt;O$2,$C8&gt;O$2), "&lt;---&gt;",
TRUE, ""
)</f>
        <v/>
      </c>
      <c r="T8" t="s">
        <v>13</v>
      </c>
      <c r="U8" t="s">
        <v>14</v>
      </c>
      <c r="V8">
        <v>8.7099999999999997E-2</v>
      </c>
      <c r="W8">
        <v>3</v>
      </c>
      <c r="X8">
        <v>4</v>
      </c>
    </row>
    <row r="9" spans="1:24">
      <c r="A9" s="8" t="s">
        <v>9</v>
      </c>
      <c r="B9" s="9">
        <v>3</v>
      </c>
      <c r="C9" s="28">
        <f>B9+_xlfn.XLOOKUP(A9,T$5:T$9,X$5:X$9)</f>
        <v>5</v>
      </c>
      <c r="D9" s="3">
        <v>239.87718288236428</v>
      </c>
      <c r="E9" s="36">
        <f>_xlfn.XLOOKUP(A9,T$14:T$22, V$14:V$22)</f>
        <v>4.2200000000000001E-2</v>
      </c>
      <c r="F9" s="54" t="str" cm="1">
        <f t="array" ref="F9">_xlfn.IFS($B9=F$2, -1,
$C9=F$2, 1+$E9,
AND($B9&lt;F$2,$C9&gt;F$2), "&lt;---&gt;",
TRUE, ""
)</f>
        <v/>
      </c>
      <c r="G9" s="54" t="str" cm="1">
        <f t="array" ref="G9">_xlfn.IFS($B9=G$2, -1,
$C9=G$2, 1+$E9,
AND($B9&lt;G$2,$C9&gt;G$2), "&lt;---&gt;",
TRUE, ""
)</f>
        <v/>
      </c>
      <c r="H9" s="54" cm="1">
        <f t="array" ref="H9">_xlfn.IFS($B9=H$2, -1,
$C9=H$2, 1+$E9,
AND($B9&lt;H$2,$C9&gt;H$2), "&lt;---&gt;",
TRUE, ""
)</f>
        <v>-1</v>
      </c>
      <c r="I9" s="54" t="str" cm="1">
        <f t="array" ref="I9">_xlfn.IFS($B9=I$2, -1,
$C9=I$2, 1+$E9,
AND($B9&lt;I$2,$C9&gt;I$2), "&lt;---&gt;",
TRUE, ""
)</f>
        <v>&lt;---&gt;</v>
      </c>
      <c r="J9" s="54" cm="1">
        <f t="array" ref="J9">_xlfn.IFS($B9=J$2, -1,
$C9=J$2, 1+$E9,
AND($B9&lt;J$2,$C9&gt;J$2), "&lt;---&gt;",
TRUE, ""
)</f>
        <v>1.0422</v>
      </c>
      <c r="K9" s="54" t="str" cm="1">
        <f t="array" ref="K9">_xlfn.IFS($B9=K$2, -1,
$C9=K$2, 1+$E9,
AND($B9&lt;K$2,$C9&gt;K$2), "&lt;---&gt;",
TRUE, ""
)</f>
        <v/>
      </c>
      <c r="L9" s="54" t="str" cm="1">
        <f t="array" ref="L9">_xlfn.IFS($B9=L$2, -1,
$C9=L$2, 1+$E9,
AND($B9&lt;L$2,$C9&gt;L$2), "&lt;---&gt;",
TRUE, ""
)</f>
        <v/>
      </c>
      <c r="M9" s="54" t="str" cm="1">
        <f t="array" ref="M9">_xlfn.IFS($B9=M$2, -1,
$C9=M$2, 1+$E9,
AND($B9&lt;M$2,$C9&gt;M$2), "&lt;---&gt;",
TRUE, ""
)</f>
        <v/>
      </c>
      <c r="N9" s="54" t="str" cm="1">
        <f t="array" ref="N9">_xlfn.IFS($B9=N$2, -1,
$C9=N$2, 1+$E9,
AND($B9&lt;N$2,$C9&gt;N$2), "&lt;---&gt;",
TRUE, ""
)</f>
        <v/>
      </c>
      <c r="O9" s="54" t="str" cm="1">
        <f t="array" ref="O9">_xlfn.IFS($B9=O$2, -1,
$C9=O$2, 1+$E9,
AND($B9&lt;O$2,$C9&gt;O$2), "&lt;---&gt;",
TRUE, ""
)</f>
        <v/>
      </c>
      <c r="T9" t="s">
        <v>15</v>
      </c>
      <c r="U9" t="s">
        <v>16</v>
      </c>
      <c r="V9">
        <v>0.1095</v>
      </c>
      <c r="W9">
        <v>1</v>
      </c>
      <c r="X9">
        <v>5</v>
      </c>
    </row>
    <row r="10" spans="1:24" ht="15" thickBot="1">
      <c r="A10" s="29" t="s">
        <v>13</v>
      </c>
      <c r="B10" s="30">
        <v>3</v>
      </c>
      <c r="C10" s="31">
        <f>B10+_xlfn.XLOOKUP(A10,T$5:T$9,X$5:X$9)</f>
        <v>7</v>
      </c>
      <c r="D10" s="3">
        <v>432.66251257142898</v>
      </c>
      <c r="E10" s="36">
        <f>_xlfn.XLOOKUP(A10,T$14:T$22, V$14:V$22)</f>
        <v>8.7099999999999997E-2</v>
      </c>
      <c r="F10" s="54" t="str" cm="1">
        <f t="array" ref="F10">_xlfn.IFS($B10=F$2, -1,
$C10=F$2, 1+$E10,
AND($B10&lt;F$2,$C10&gt;F$2), "&lt;---&gt;",
TRUE, ""
)</f>
        <v/>
      </c>
      <c r="G10" s="54" t="str" cm="1">
        <f t="array" ref="G10">_xlfn.IFS($B10=G$2, -1,
$C10=G$2, 1+$E10,
AND($B10&lt;G$2,$C10&gt;G$2), "&lt;---&gt;",
TRUE, ""
)</f>
        <v/>
      </c>
      <c r="H10" s="54" cm="1">
        <f t="array" ref="H10">_xlfn.IFS($B10=H$2, -1,
$C10=H$2, 1+$E10,
AND($B10&lt;H$2,$C10&gt;H$2), "&lt;---&gt;",
TRUE, ""
)</f>
        <v>-1</v>
      </c>
      <c r="I10" s="54" t="str" cm="1">
        <f t="array" ref="I10">_xlfn.IFS($B10=I$2, -1,
$C10=I$2, 1+$E10,
AND($B10&lt;I$2,$C10&gt;I$2), "&lt;---&gt;",
TRUE, ""
)</f>
        <v>&lt;---&gt;</v>
      </c>
      <c r="J10" s="54" t="str" cm="1">
        <f t="array" ref="J10">_xlfn.IFS($B10=J$2, -1,
$C10=J$2, 1+$E10,
AND($B10&lt;J$2,$C10&gt;J$2), "&lt;---&gt;",
TRUE, ""
)</f>
        <v>&lt;---&gt;</v>
      </c>
      <c r="K10" s="54" t="str" cm="1">
        <f t="array" ref="K10">_xlfn.IFS($B10=K$2, -1,
$C10=K$2, 1+$E10,
AND($B10&lt;K$2,$C10&gt;K$2), "&lt;---&gt;",
TRUE, ""
)</f>
        <v>&lt;---&gt;</v>
      </c>
      <c r="L10" s="54" cm="1">
        <f t="array" ref="L10">_xlfn.IFS($B10=L$2, -1,
$C10=L$2, 1+$E10,
AND($B10&lt;L$2,$C10&gt;L$2), "&lt;---&gt;",
TRUE, ""
)</f>
        <v>1.0871</v>
      </c>
      <c r="M10" s="54" t="str" cm="1">
        <f t="array" ref="M10">_xlfn.IFS($B10=M$2, -1,
$C10=M$2, 1+$E10,
AND($B10&lt;M$2,$C10&gt;M$2), "&lt;---&gt;",
TRUE, ""
)</f>
        <v/>
      </c>
      <c r="N10" s="54" t="str" cm="1">
        <f t="array" ref="N10">_xlfn.IFS($B10=N$2, -1,
$C10=N$2, 1+$E10,
AND($B10&lt;N$2,$C10&gt;N$2), "&lt;---&gt;",
TRUE, ""
)</f>
        <v/>
      </c>
      <c r="O10" s="54" t="str" cm="1">
        <f t="array" ref="O10">_xlfn.IFS($B10=O$2, -1,
$C10=O$2, 1+$E10,
AND($B10&lt;O$2,$C10&gt;O$2), "&lt;---&gt;",
TRUE, ""
)</f>
        <v/>
      </c>
    </row>
    <row r="11" spans="1:24" ht="15" thickBot="1">
      <c r="A11" s="32" t="s">
        <v>7</v>
      </c>
      <c r="B11" s="33">
        <v>4</v>
      </c>
      <c r="C11" s="34">
        <f>B11+_xlfn.XLOOKUP(A11,T$5:T$9,X$5:X$9)</f>
        <v>5</v>
      </c>
      <c r="D11" s="3">
        <v>0</v>
      </c>
      <c r="E11" s="36">
        <f>_xlfn.XLOOKUP(A11,T$14:T$22, V$14:V$22)</f>
        <v>0.02</v>
      </c>
      <c r="F11" s="54" t="str" cm="1">
        <f t="array" ref="F11">_xlfn.IFS($B11=F$2, -1,
$C11=F$2, 1+$E11,
AND($B11&lt;F$2,$C11&gt;F$2), "&lt;---&gt;",
TRUE, ""
)</f>
        <v/>
      </c>
      <c r="G11" s="54" t="str" cm="1">
        <f t="array" ref="G11">_xlfn.IFS($B11=G$2, -1,
$C11=G$2, 1+$E11,
AND($B11&lt;G$2,$C11&gt;G$2), "&lt;---&gt;",
TRUE, ""
)</f>
        <v/>
      </c>
      <c r="H11" s="54" t="str" cm="1">
        <f t="array" ref="H11">_xlfn.IFS($B11=H$2, -1,
$C11=H$2, 1+$E11,
AND($B11&lt;H$2,$C11&gt;H$2), "&lt;---&gt;",
TRUE, ""
)</f>
        <v/>
      </c>
      <c r="I11" s="54" cm="1">
        <f t="array" ref="I11">_xlfn.IFS($B11=I$2, -1,
$C11=I$2, 1+$E11,
AND($B11&lt;I$2,$C11&gt;I$2), "&lt;---&gt;",
TRUE, ""
)</f>
        <v>-1</v>
      </c>
      <c r="J11" s="54" cm="1">
        <f t="array" ref="J11">_xlfn.IFS($B11=J$2, -1,
$C11=J$2, 1+$E11,
AND($B11&lt;J$2,$C11&gt;J$2), "&lt;---&gt;",
TRUE, ""
)</f>
        <v>1.02</v>
      </c>
      <c r="K11" s="54" t="str" cm="1">
        <f t="array" ref="K11">_xlfn.IFS($B11=K$2, -1,
$C11=K$2, 1+$E11,
AND($B11&lt;K$2,$C11&gt;K$2), "&lt;---&gt;",
TRUE, ""
)</f>
        <v/>
      </c>
      <c r="L11" s="54" t="str" cm="1">
        <f t="array" ref="L11">_xlfn.IFS($B11=L$2, -1,
$C11=L$2, 1+$E11,
AND($B11&lt;L$2,$C11&gt;L$2), "&lt;---&gt;",
TRUE, ""
)</f>
        <v/>
      </c>
      <c r="M11" s="54" t="str" cm="1">
        <f t="array" ref="M11">_xlfn.IFS($B11=M$2, -1,
$C11=M$2, 1+$E11,
AND($B11&lt;M$2,$C11&gt;M$2), "&lt;---&gt;",
TRUE, ""
)</f>
        <v/>
      </c>
      <c r="N11" s="54" t="str" cm="1">
        <f t="array" ref="N11">_xlfn.IFS($B11=N$2, -1,
$C11=N$2, 1+$E11,
AND($B11&lt;N$2,$C11&gt;N$2), "&lt;---&gt;",
TRUE, ""
)</f>
        <v/>
      </c>
      <c r="O11" s="54" t="str" cm="1">
        <f t="array" ref="O11">_xlfn.IFS($B11=O$2, -1,
$C11=O$2, 1+$E11,
AND($B11&lt;O$2,$C11&gt;O$2), "&lt;---&gt;",
TRUE, ""
)</f>
        <v/>
      </c>
      <c r="T11" s="69" t="s">
        <v>17</v>
      </c>
      <c r="U11" s="65" t="s">
        <v>25</v>
      </c>
      <c r="V11" s="67" t="s">
        <v>21</v>
      </c>
    </row>
    <row r="12" spans="1:24" ht="15" thickBot="1">
      <c r="A12" s="46" t="s">
        <v>7</v>
      </c>
      <c r="B12" s="47">
        <v>5</v>
      </c>
      <c r="C12" s="39">
        <f>B12+_xlfn.XLOOKUP(A12,T$5:T$9,X$5:X$9)</f>
        <v>6</v>
      </c>
      <c r="D12" s="3">
        <v>0</v>
      </c>
      <c r="E12" s="36">
        <f>_xlfn.XLOOKUP(A12,T$14:T$22, V$14:V$22)</f>
        <v>0.02</v>
      </c>
      <c r="F12" s="54" t="str" cm="1">
        <f t="array" ref="F12">_xlfn.IFS($B12=F$2, -1,
$C12=F$2, 1+$E12,
AND($B12&lt;F$2,$C12&gt;F$2), "&lt;---&gt;",
TRUE, ""
)</f>
        <v/>
      </c>
      <c r="G12" s="54" t="str" cm="1">
        <f t="array" ref="G12">_xlfn.IFS($B12=G$2, -1,
$C12=G$2, 1+$E12,
AND($B12&lt;G$2,$C12&gt;G$2), "&lt;---&gt;",
TRUE, ""
)</f>
        <v/>
      </c>
      <c r="H12" s="54" t="str" cm="1">
        <f t="array" ref="H12">_xlfn.IFS($B12=H$2, -1,
$C12=H$2, 1+$E12,
AND($B12&lt;H$2,$C12&gt;H$2), "&lt;---&gt;",
TRUE, ""
)</f>
        <v/>
      </c>
      <c r="I12" s="54" t="str" cm="1">
        <f t="array" ref="I12">_xlfn.IFS($B12=I$2, -1,
$C12=I$2, 1+$E12,
AND($B12&lt;I$2,$C12&gt;I$2), "&lt;---&gt;",
TRUE, ""
)</f>
        <v/>
      </c>
      <c r="J12" s="54" cm="1">
        <f t="array" ref="J12">_xlfn.IFS($B12=J$2, -1,
$C12=J$2, 1+$E12,
AND($B12&lt;J$2,$C12&gt;J$2), "&lt;---&gt;",
TRUE, ""
)</f>
        <v>-1</v>
      </c>
      <c r="K12" s="54" cm="1">
        <f t="array" ref="K12">_xlfn.IFS($B12=K$2, -1,
$C12=K$2, 1+$E12,
AND($B12&lt;K$2,$C12&gt;K$2), "&lt;---&gt;",
TRUE, ""
)</f>
        <v>1.02</v>
      </c>
      <c r="L12" s="54" t="str" cm="1">
        <f t="array" ref="L12">_xlfn.IFS($B12=L$2, -1,
$C12=L$2, 1+$E12,
AND($B12&lt;L$2,$C12&gt;L$2), "&lt;---&gt;",
TRUE, ""
)</f>
        <v/>
      </c>
      <c r="M12" s="54" t="str" cm="1">
        <f t="array" ref="M12">_xlfn.IFS($B12=M$2, -1,
$C12=M$2, 1+$E12,
AND($B12&lt;M$2,$C12&gt;M$2), "&lt;---&gt;",
TRUE, ""
)</f>
        <v/>
      </c>
      <c r="N12" s="54" t="str" cm="1">
        <f t="array" ref="N12">_xlfn.IFS($B12=N$2, -1,
$C12=N$2, 1+$E12,
AND($B12&lt;N$2,$C12&gt;N$2), "&lt;---&gt;",
TRUE, ""
)</f>
        <v/>
      </c>
      <c r="O12" s="54" t="str" cm="1">
        <f t="array" ref="O12">_xlfn.IFS($B12=O$2, -1,
$C12=O$2, 1+$E12,
AND($B12&lt;O$2,$C12&gt;O$2), "&lt;---&gt;",
TRUE, ""
)</f>
        <v/>
      </c>
      <c r="T12" s="70"/>
      <c r="U12" s="66"/>
      <c r="V12" s="68"/>
    </row>
    <row r="13" spans="1:24" ht="15" thickBot="1">
      <c r="A13" s="37" t="s">
        <v>11</v>
      </c>
      <c r="B13" s="38">
        <v>5</v>
      </c>
      <c r="C13" s="39">
        <f>B13+_xlfn.XLOOKUP(A13,T$5:T$9,X$5:X$9)</f>
        <v>8</v>
      </c>
      <c r="D13" s="3">
        <v>0</v>
      </c>
      <c r="E13" s="36">
        <f>_xlfn.XLOOKUP(A13,T$14:T$22, V$14:V$22)</f>
        <v>6.4600000000000005E-2</v>
      </c>
      <c r="F13" s="54" t="str" cm="1">
        <f t="array" ref="F13">_xlfn.IFS($B13=F$2, -1,
$C13=F$2, 1+$E13,
AND($B13&lt;F$2,$C13&gt;F$2), "&lt;---&gt;",
TRUE, ""
)</f>
        <v/>
      </c>
      <c r="G13" s="54" t="str" cm="1">
        <f t="array" ref="G13">_xlfn.IFS($B13=G$2, -1,
$C13=G$2, 1+$E13,
AND($B13&lt;G$2,$C13&gt;G$2), "&lt;---&gt;",
TRUE, ""
)</f>
        <v/>
      </c>
      <c r="H13" s="54" t="str" cm="1">
        <f t="array" ref="H13">_xlfn.IFS($B13=H$2, -1,
$C13=H$2, 1+$E13,
AND($B13&lt;H$2,$C13&gt;H$2), "&lt;---&gt;",
TRUE, ""
)</f>
        <v/>
      </c>
      <c r="I13" s="54" t="str" cm="1">
        <f t="array" ref="I13">_xlfn.IFS($B13=I$2, -1,
$C13=I$2, 1+$E13,
AND($B13&lt;I$2,$C13&gt;I$2), "&lt;---&gt;",
TRUE, ""
)</f>
        <v/>
      </c>
      <c r="J13" s="54" cm="1">
        <f t="array" ref="J13">_xlfn.IFS($B13=J$2, -1,
$C13=J$2, 1+$E13,
AND($B13&lt;J$2,$C13&gt;J$2), "&lt;---&gt;",
TRUE, ""
)</f>
        <v>-1</v>
      </c>
      <c r="K13" s="54" t="str" cm="1">
        <f t="array" ref="K13">_xlfn.IFS($B13=K$2, -1,
$C13=K$2, 1+$E13,
AND($B13&lt;K$2,$C13&gt;K$2), "&lt;---&gt;",
TRUE, ""
)</f>
        <v>&lt;---&gt;</v>
      </c>
      <c r="L13" s="54" t="str" cm="1">
        <f t="array" ref="L13">_xlfn.IFS($B13=L$2, -1,
$C13=L$2, 1+$E13,
AND($B13&lt;L$2,$C13&gt;L$2), "&lt;---&gt;",
TRUE, ""
)</f>
        <v>&lt;---&gt;</v>
      </c>
      <c r="M13" s="54" cm="1">
        <f t="array" ref="M13">_xlfn.IFS($B13=M$2, -1,
$C13=M$2, 1+$E13,
AND($B13&lt;M$2,$C13&gt;M$2), "&lt;---&gt;",
TRUE, ""
)</f>
        <v>1.0646</v>
      </c>
      <c r="N13" s="54" t="str" cm="1">
        <f t="array" ref="N13">_xlfn.IFS($B13=N$2, -1,
$C13=N$2, 1+$E13,
AND($B13&lt;N$2,$C13&gt;N$2), "&lt;---&gt;",
TRUE, ""
)</f>
        <v/>
      </c>
      <c r="O13" s="54" t="str" cm="1">
        <f t="array" ref="O13">_xlfn.IFS($B13=O$2, -1,
$C13=O$2, 1+$E13,
AND($B13&lt;O$2,$C13&gt;O$2), "&lt;---&gt;",
TRUE, ""
)</f>
        <v/>
      </c>
      <c r="T13" s="70"/>
      <c r="U13" s="66"/>
      <c r="V13" s="68"/>
    </row>
    <row r="14" spans="1:24" ht="15" thickBot="1">
      <c r="A14" s="55" t="s">
        <v>9</v>
      </c>
      <c r="B14" s="56">
        <v>5</v>
      </c>
      <c r="C14" s="39">
        <f>B14+_xlfn.XLOOKUP(A14,T$5:T$9,X$5:X$9)</f>
        <v>7</v>
      </c>
      <c r="D14" s="3">
        <v>0</v>
      </c>
      <c r="E14" s="36">
        <f>_xlfn.XLOOKUP(A14,T$14:T$22, V$14:V$22)</f>
        <v>4.2200000000000001E-2</v>
      </c>
      <c r="F14" s="54" t="str" cm="1">
        <f t="array" ref="F14">_xlfn.IFS($B14=F$2, -1,
$C14=F$2, 1+$E14,
AND($B14&lt;F$2,$C14&gt;F$2), "&lt;---&gt;",
TRUE, ""
)</f>
        <v/>
      </c>
      <c r="G14" s="54" t="str" cm="1">
        <f t="array" ref="G14">_xlfn.IFS($B14=G$2, -1,
$C14=G$2, 1+$E14,
AND($B14&lt;G$2,$C14&gt;G$2), "&lt;---&gt;",
TRUE, ""
)</f>
        <v/>
      </c>
      <c r="H14" s="54" t="str" cm="1">
        <f t="array" ref="H14">_xlfn.IFS($B14=H$2, -1,
$C14=H$2, 1+$E14,
AND($B14&lt;H$2,$C14&gt;H$2), "&lt;---&gt;",
TRUE, ""
)</f>
        <v/>
      </c>
      <c r="I14" s="54" t="str" cm="1">
        <f t="array" ref="I14">_xlfn.IFS($B14=I$2, -1,
$C14=I$2, 1+$E14,
AND($B14&lt;I$2,$C14&gt;I$2), "&lt;---&gt;",
TRUE, ""
)</f>
        <v/>
      </c>
      <c r="J14" s="54" cm="1">
        <f t="array" ref="J14">_xlfn.IFS($B14=J$2, -1,
$C14=J$2, 1+$E14,
AND($B14&lt;J$2,$C14&gt;J$2), "&lt;---&gt;",
TRUE, ""
)</f>
        <v>-1</v>
      </c>
      <c r="K14" s="54" t="str" cm="1">
        <f t="array" ref="K14">_xlfn.IFS($B14=K$2, -1,
$C14=K$2, 1+$E14,
AND($B14&lt;K$2,$C14&gt;K$2), "&lt;---&gt;",
TRUE, ""
)</f>
        <v>&lt;---&gt;</v>
      </c>
      <c r="L14" s="54" cm="1">
        <f t="array" ref="L14">_xlfn.IFS($B14=L$2, -1,
$C14=L$2, 1+$E14,
AND($B14&lt;L$2,$C14&gt;L$2), "&lt;---&gt;",
TRUE, ""
)</f>
        <v>1.0422</v>
      </c>
      <c r="M14" s="54" t="str" cm="1">
        <f t="array" ref="M14">_xlfn.IFS($B14=M$2, -1,
$C14=M$2, 1+$E14,
AND($B14&lt;M$2,$C14&gt;M$2), "&lt;---&gt;",
TRUE, ""
)</f>
        <v/>
      </c>
      <c r="N14" s="54" t="str" cm="1">
        <f t="array" ref="N14">_xlfn.IFS($B14=N$2, -1,
$C14=N$2, 1+$E14,
AND($B14&lt;N$2,$C14&gt;N$2), "&lt;---&gt;",
TRUE, ""
)</f>
        <v/>
      </c>
      <c r="O14" s="54" t="str" cm="1">
        <f t="array" ref="O14">_xlfn.IFS($B14=O$2, -1,
$C14=O$2, 1+$E14,
AND($B14&lt;O$2,$C14&gt;O$2), "&lt;---&gt;",
TRUE, ""
)</f>
        <v/>
      </c>
      <c r="T14" s="35" t="s">
        <v>7</v>
      </c>
      <c r="U14">
        <v>1</v>
      </c>
      <c r="V14" s="48">
        <v>0.02</v>
      </c>
    </row>
    <row r="15" spans="1:24" ht="15" thickBot="1">
      <c r="A15" s="58" t="s">
        <v>7</v>
      </c>
      <c r="B15" s="59">
        <v>6</v>
      </c>
      <c r="C15" s="42">
        <f>B15+_xlfn.XLOOKUP(A15,T$5:T$9,X$5:X$9)</f>
        <v>7</v>
      </c>
      <c r="D15" s="3">
        <v>0</v>
      </c>
      <c r="E15" s="36">
        <f>_xlfn.XLOOKUP(A15,T$14:T$22, V$14:V$22)</f>
        <v>0.02</v>
      </c>
      <c r="F15" s="54" t="str" cm="1">
        <f t="array" ref="F15">_xlfn.IFS($B15=F$2, -1,
$C15=F$2, 1+$E15,
AND($B15&lt;F$2,$C15&gt;F$2), "&lt;---&gt;",
TRUE, ""
)</f>
        <v/>
      </c>
      <c r="G15" s="54" t="str" cm="1">
        <f t="array" ref="G15">_xlfn.IFS($B15=G$2, -1,
$C15=G$2, 1+$E15,
AND($B15&lt;G$2,$C15&gt;G$2), "&lt;---&gt;",
TRUE, ""
)</f>
        <v/>
      </c>
      <c r="H15" s="54" t="str" cm="1">
        <f t="array" ref="H15">_xlfn.IFS($B15=H$2, -1,
$C15=H$2, 1+$E15,
AND($B15&lt;H$2,$C15&gt;H$2), "&lt;---&gt;",
TRUE, ""
)</f>
        <v/>
      </c>
      <c r="I15" s="54" t="str" cm="1">
        <f t="array" ref="I15">_xlfn.IFS($B15=I$2, -1,
$C15=I$2, 1+$E15,
AND($B15&lt;I$2,$C15&gt;I$2), "&lt;---&gt;",
TRUE, ""
)</f>
        <v/>
      </c>
      <c r="J15" s="54" t="str" cm="1">
        <f t="array" ref="J15">_xlfn.IFS($B15=J$2, -1,
$C15=J$2, 1+$E15,
AND($B15&lt;J$2,$C15&gt;J$2), "&lt;---&gt;",
TRUE, ""
)</f>
        <v/>
      </c>
      <c r="K15" s="54" cm="1">
        <f t="array" ref="K15">_xlfn.IFS($B15=K$2, -1,
$C15=K$2, 1+$E15,
AND($B15&lt;K$2,$C15&gt;K$2), "&lt;---&gt;",
TRUE, ""
)</f>
        <v>-1</v>
      </c>
      <c r="L15" s="54" cm="1">
        <f t="array" ref="L15">_xlfn.IFS($B15=L$2, -1,
$C15=L$2, 1+$E15,
AND($B15&lt;L$2,$C15&gt;L$2), "&lt;---&gt;",
TRUE, ""
)</f>
        <v>1.02</v>
      </c>
      <c r="M15" s="54" t="str" cm="1">
        <f t="array" ref="M15">_xlfn.IFS($B15=M$2, -1,
$C15=M$2, 1+$E15,
AND($B15&lt;M$2,$C15&gt;M$2), "&lt;---&gt;",
TRUE, ""
)</f>
        <v/>
      </c>
      <c r="N15" s="54" t="str" cm="1">
        <f t="array" ref="N15">_xlfn.IFS($B15=N$2, -1,
$C15=N$2, 1+$E15,
AND($B15&lt;N$2,$C15&gt;N$2), "&lt;---&gt;",
TRUE, ""
)</f>
        <v/>
      </c>
      <c r="O15" s="54" t="str" cm="1">
        <f t="array" ref="O15">_xlfn.IFS($B15=O$2, -1,
$C15=O$2, 1+$E15,
AND($B15&lt;O$2,$C15&gt;O$2), "&lt;---&gt;",
TRUE, ""
)</f>
        <v/>
      </c>
      <c r="T15" s="35" t="s">
        <v>9</v>
      </c>
      <c r="U15">
        <v>2</v>
      </c>
      <c r="V15" s="48">
        <v>4.2200000000000001E-2</v>
      </c>
    </row>
    <row r="16" spans="1:24" ht="15" thickBot="1">
      <c r="A16" s="60" t="s">
        <v>15</v>
      </c>
      <c r="B16" s="61">
        <v>6</v>
      </c>
      <c r="C16" s="42">
        <f>B16+_xlfn.XLOOKUP(A16,T$5:T$9,X$5:X$9)</f>
        <v>11</v>
      </c>
      <c r="D16" s="3">
        <v>0</v>
      </c>
      <c r="E16" s="36">
        <f>_xlfn.XLOOKUP(A16,T$14:T$22, V$14:V$22)</f>
        <v>0.1095</v>
      </c>
      <c r="F16" s="54" t="str" cm="1">
        <f t="array" ref="F16">_xlfn.IFS($B16=F$2, -1,
$C16=F$2, 1+$E16,
AND($B16&lt;F$2,$C16&gt;F$2), "&lt;---&gt;",
TRUE, ""
)</f>
        <v/>
      </c>
      <c r="G16" s="54" t="str" cm="1">
        <f t="array" ref="G16">_xlfn.IFS($B16=G$2, -1,
$C16=G$2, 1+$E16,
AND($B16&lt;G$2,$C16&gt;G$2), "&lt;---&gt;",
TRUE, ""
)</f>
        <v/>
      </c>
      <c r="H16" s="54" t="str" cm="1">
        <f t="array" ref="H16">_xlfn.IFS($B16=H$2, -1,
$C16=H$2, 1+$E16,
AND($B16&lt;H$2,$C16&gt;H$2), "&lt;---&gt;",
TRUE, ""
)</f>
        <v/>
      </c>
      <c r="I16" s="54" t="str" cm="1">
        <f t="array" ref="I16">_xlfn.IFS($B16=I$2, -1,
$C16=I$2, 1+$E16,
AND($B16&lt;I$2,$C16&gt;I$2), "&lt;---&gt;",
TRUE, ""
)</f>
        <v/>
      </c>
      <c r="J16" s="54" t="str" cm="1">
        <f t="array" ref="J16">_xlfn.IFS($B16=J$2, -1,
$C16=J$2, 1+$E16,
AND($B16&lt;J$2,$C16&gt;J$2), "&lt;---&gt;",
TRUE, ""
)</f>
        <v/>
      </c>
      <c r="K16" s="54" cm="1">
        <f t="array" ref="K16">_xlfn.IFS($B16=K$2, -1,
$C16=K$2, 1+$E16,
AND($B16&lt;K$2,$C16&gt;K$2), "&lt;---&gt;",
TRUE, ""
)</f>
        <v>-1</v>
      </c>
      <c r="L16" s="54" t="str" cm="1">
        <f t="array" ref="L16">_xlfn.IFS($B16=L$2, -1,
$C16=L$2, 1+$E16,
AND($B16&lt;L$2,$C16&gt;L$2), "&lt;---&gt;",
TRUE, ""
)</f>
        <v>&lt;---&gt;</v>
      </c>
      <c r="M16" s="54" t="str" cm="1">
        <f t="array" ref="M16">_xlfn.IFS($B16=M$2, -1,
$C16=M$2, 1+$E16,
AND($B16&lt;M$2,$C16&gt;M$2), "&lt;---&gt;",
TRUE, ""
)</f>
        <v>&lt;---&gt;</v>
      </c>
      <c r="N16" s="54" t="str" cm="1">
        <f t="array" ref="N16">_xlfn.IFS($B16=N$2, -1,
$C16=N$2, 1+$E16,
AND($B16&lt;N$2,$C16&gt;N$2), "&lt;---&gt;",
TRUE, ""
)</f>
        <v>&lt;---&gt;</v>
      </c>
      <c r="O16" s="54" t="str" cm="1">
        <f t="array" ref="O16">_xlfn.IFS($B16=O$2, -1,
$C16=O$2, 1+$E16,
AND($B16&lt;O$2,$C16&gt;O$2), "&lt;---&gt;",
TRUE, ""
)</f>
        <v>&lt;---&gt;</v>
      </c>
      <c r="T16" s="35" t="s">
        <v>11</v>
      </c>
      <c r="U16">
        <v>3</v>
      </c>
      <c r="V16" s="48">
        <v>6.4600000000000005E-2</v>
      </c>
    </row>
    <row r="17" spans="1:22" ht="15" thickBot="1">
      <c r="A17" s="43" t="s">
        <v>7</v>
      </c>
      <c r="B17" s="57">
        <v>7</v>
      </c>
      <c r="C17" s="45">
        <f>B17+_xlfn.XLOOKUP(A17,T$5:T$9,X$5:X$9)</f>
        <v>8</v>
      </c>
      <c r="D17" s="3">
        <v>0</v>
      </c>
      <c r="E17" s="36">
        <f>_xlfn.XLOOKUP(A17,T$14:T$22, V$14:V$22)</f>
        <v>0.02</v>
      </c>
      <c r="F17" s="54" t="str" cm="1">
        <f t="array" ref="F17">_xlfn.IFS($B17=F$2, -1,
$C17=F$2, 1+$E17,
AND($B17&lt;F$2,$C17&gt;F$2), "&lt;---&gt;",
TRUE, ""
)</f>
        <v/>
      </c>
      <c r="G17" s="54" t="str" cm="1">
        <f t="array" ref="G17">_xlfn.IFS($B17=G$2, -1,
$C17=G$2, 1+$E17,
AND($B17&lt;G$2,$C17&gt;G$2), "&lt;---&gt;",
TRUE, ""
)</f>
        <v/>
      </c>
      <c r="H17" s="54" t="str" cm="1">
        <f t="array" ref="H17">_xlfn.IFS($B17=H$2, -1,
$C17=H$2, 1+$E17,
AND($B17&lt;H$2,$C17&gt;H$2), "&lt;---&gt;",
TRUE, ""
)</f>
        <v/>
      </c>
      <c r="I17" s="54" t="str" cm="1">
        <f t="array" ref="I17">_xlfn.IFS($B17=I$2, -1,
$C17=I$2, 1+$E17,
AND($B17&lt;I$2,$C17&gt;I$2), "&lt;---&gt;",
TRUE, ""
)</f>
        <v/>
      </c>
      <c r="J17" s="54" t="str" cm="1">
        <f t="array" ref="J17">_xlfn.IFS($B17=J$2, -1,
$C17=J$2, 1+$E17,
AND($B17&lt;J$2,$C17&gt;J$2), "&lt;---&gt;",
TRUE, ""
)</f>
        <v/>
      </c>
      <c r="K17" s="54" t="str" cm="1">
        <f t="array" ref="K17">_xlfn.IFS($B17=K$2, -1,
$C17=K$2, 1+$E17,
AND($B17&lt;K$2,$C17&gt;K$2), "&lt;---&gt;",
TRUE, ""
)</f>
        <v/>
      </c>
      <c r="L17" s="54" cm="1">
        <f t="array" ref="L17">_xlfn.IFS($B17=L$2, -1,
$C17=L$2, 1+$E17,
AND($B17&lt;L$2,$C17&gt;L$2), "&lt;---&gt;",
TRUE, ""
)</f>
        <v>-1</v>
      </c>
      <c r="M17" s="54" cm="1">
        <f t="array" ref="M17">_xlfn.IFS($B17=M$2, -1,
$C17=M$2, 1+$E17,
AND($B17&lt;M$2,$C17&gt;M$2), "&lt;---&gt;",
TRUE, ""
)</f>
        <v>1.02</v>
      </c>
      <c r="N17" s="54" t="str" cm="1">
        <f t="array" ref="N17">_xlfn.IFS($B17=N$2, -1,
$C17=N$2, 1+$E17,
AND($B17&lt;N$2,$C17&gt;N$2), "&lt;---&gt;",
TRUE, ""
)</f>
        <v/>
      </c>
      <c r="O17" s="54" t="str" cm="1">
        <f t="array" ref="O17">_xlfn.IFS($B17=O$2, -1,
$C17=O$2, 1+$E17,
AND($B17&lt;O$2,$C17&gt;O$2), "&lt;---&gt;",
TRUE, ""
)</f>
        <v/>
      </c>
      <c r="T17" s="35" t="s">
        <v>13</v>
      </c>
      <c r="U17">
        <v>4</v>
      </c>
      <c r="V17" s="48">
        <v>8.7099999999999997E-2</v>
      </c>
    </row>
    <row r="18" spans="1:22" ht="15" thickBot="1">
      <c r="A18" s="43" t="s">
        <v>9</v>
      </c>
      <c r="B18" s="44">
        <v>7</v>
      </c>
      <c r="C18" s="45">
        <f t="shared" ref="C18:C23" si="0">B18+_xlfn.XLOOKUP(A18,T$5:T$9,X$5:X$9)</f>
        <v>9</v>
      </c>
      <c r="D18" s="3">
        <v>470.34741741640045</v>
      </c>
      <c r="E18" s="36">
        <f>_xlfn.XLOOKUP(A18,T$14:T$22, V$14:V$22)</f>
        <v>4.2200000000000001E-2</v>
      </c>
      <c r="F18" s="54"/>
      <c r="G18" s="54"/>
      <c r="H18" s="54"/>
      <c r="I18" s="54"/>
      <c r="J18" s="54"/>
      <c r="K18" s="54"/>
      <c r="L18" s="54" cm="1">
        <f t="array" ref="L18">_xlfn.IFS($B18=L$2, -1,
$C18=L$2, 1+$E18,
AND($B18&lt;L$2,$C18&gt;L$2), "&lt;---&gt;",
TRUE, ""
)</f>
        <v>-1</v>
      </c>
      <c r="M18" s="54" t="str" cm="1">
        <f t="array" ref="M18">_xlfn.IFS($B18=M$2, -1,
$C18=M$2, 1+$E18,
AND($B18&lt;M$2,$C18&gt;M$2), "&lt;---&gt;",
TRUE, ""
)</f>
        <v>&lt;---&gt;</v>
      </c>
      <c r="N18" s="54" cm="1">
        <f t="array" ref="N18">_xlfn.IFS($B18=N$2, -1,
$C18=N$2, 1+$E18,
AND($B18&lt;N$2,$C18&gt;N$2), "&lt;---&gt;",
TRUE, ""
)</f>
        <v>1.0422</v>
      </c>
      <c r="O18" s="54" t="str" cm="1">
        <f t="array" ref="O18">_xlfn.IFS($B18=O$2, -1,
$C18=O$2, 1+$E18,
AND($B18&lt;O$2,$C18&gt;O$2), "&lt;---&gt;",
TRUE, ""
)</f>
        <v/>
      </c>
      <c r="T18" s="49" t="s">
        <v>15</v>
      </c>
      <c r="U18" s="5">
        <v>5</v>
      </c>
      <c r="V18" s="50">
        <v>0.1095</v>
      </c>
    </row>
    <row r="19" spans="1:22" ht="15" thickBot="1">
      <c r="A19" s="43" t="s">
        <v>13</v>
      </c>
      <c r="B19" s="44">
        <v>7</v>
      </c>
      <c r="C19" s="45">
        <f t="shared" si="0"/>
        <v>11</v>
      </c>
      <c r="D19" s="3">
        <v>0</v>
      </c>
      <c r="E19" s="36">
        <f>_xlfn.XLOOKUP(A19,T$14:T$22, V$14:V$22)</f>
        <v>8.7099999999999997E-2</v>
      </c>
      <c r="F19" s="54"/>
      <c r="G19" s="54"/>
      <c r="H19" s="54"/>
      <c r="I19" s="54"/>
      <c r="J19" s="54"/>
      <c r="K19" s="54"/>
      <c r="L19" s="54" cm="1">
        <f t="array" ref="L19">_xlfn.IFS($B19=L$2, -1,
$C19=L$2, 1+$E19,
AND($B19&lt;L$2,$C19&gt;L$2), "&lt;---&gt;",
TRUE, ""
)</f>
        <v>-1</v>
      </c>
      <c r="M19" s="54" t="str" cm="1">
        <f t="array" ref="M19">_xlfn.IFS($B19=M$2, -1,
$C19=M$2, 1+$E19,
AND($B19&lt;M$2,$C19&gt;M$2), "&lt;---&gt;",
TRUE, ""
)</f>
        <v>&lt;---&gt;</v>
      </c>
      <c r="N19" s="54" t="str" cm="1">
        <f t="array" ref="N19">_xlfn.IFS($B19=N$2, -1,
$C19=N$2, 1+$E19,
AND($B19&lt;N$2,$C19&gt;N$2), "&lt;---&gt;",
TRUE, ""
)</f>
        <v>&lt;---&gt;</v>
      </c>
      <c r="O19" s="54" t="str" cm="1">
        <f t="array" ref="O19">_xlfn.IFS($B19=O$2, -1,
$C19=O$2, 1+$E19,
AND($B19&lt;O$2,$C19&gt;O$2), "&lt;---&gt;",
TRUE, ""
)</f>
        <v>&lt;---&gt;</v>
      </c>
      <c r="T19" s="35"/>
      <c r="V19" s="48"/>
    </row>
    <row r="20" spans="1:22" ht="15" thickBot="1">
      <c r="A20" s="41" t="s">
        <v>7</v>
      </c>
      <c r="B20" s="40">
        <v>8</v>
      </c>
      <c r="C20" s="45">
        <f t="shared" si="0"/>
        <v>9</v>
      </c>
      <c r="D20" s="3">
        <v>0</v>
      </c>
      <c r="E20" s="36">
        <f>_xlfn.XLOOKUP(A20,T$14:T$22, V$14:V$22)</f>
        <v>0.02</v>
      </c>
      <c r="F20" s="54"/>
      <c r="G20" s="54"/>
      <c r="H20" s="54"/>
      <c r="I20" s="54"/>
      <c r="J20" s="54"/>
      <c r="K20" s="54"/>
      <c r="L20" s="54" t="str" cm="1">
        <f t="array" ref="L20">_xlfn.IFS($B20=L$2, -1,
$C20=L$2, 1+$E20,
AND($B20&lt;L$2,$C20&gt;L$2), "&lt;---&gt;",
TRUE, ""
)</f>
        <v/>
      </c>
      <c r="M20" s="54" cm="1">
        <f t="array" ref="M20">_xlfn.IFS($B20=M$2, -1,
$C20=M$2, 1+$E20,
AND($B20&lt;M$2,$C20&gt;M$2), "&lt;---&gt;",
TRUE, ""
)</f>
        <v>-1</v>
      </c>
      <c r="N20" s="54" cm="1">
        <f t="array" ref="N20">_xlfn.IFS($B20=N$2, -1,
$C20=N$2, 1+$E20,
AND($B20&lt;N$2,$C20&gt;N$2), "&lt;---&gt;",
TRUE, ""
)</f>
        <v>1.02</v>
      </c>
      <c r="O20" s="54" t="str" cm="1">
        <f t="array" ref="O20">_xlfn.IFS($B20=O$2, -1,
$C20=O$2, 1+$E20,
AND($B20&lt;O$2,$C20&gt;O$2), "&lt;---&gt;",
TRUE, ""
)</f>
        <v/>
      </c>
      <c r="T20" s="35"/>
      <c r="V20" s="48"/>
    </row>
    <row r="21" spans="1:22" ht="15" thickBot="1">
      <c r="A21" s="41" t="s">
        <v>11</v>
      </c>
      <c r="B21" s="40">
        <v>8</v>
      </c>
      <c r="C21" s="45">
        <f t="shared" si="0"/>
        <v>11</v>
      </c>
      <c r="D21" s="3">
        <v>0</v>
      </c>
      <c r="E21" s="36">
        <f>_xlfn.XLOOKUP(A21,T$14:T$22, V$14:V$22)</f>
        <v>6.4600000000000005E-2</v>
      </c>
      <c r="F21" s="54"/>
      <c r="G21" s="54"/>
      <c r="H21" s="54"/>
      <c r="I21" s="54"/>
      <c r="J21" s="54"/>
      <c r="K21" s="54"/>
      <c r="L21" s="54" t="str" cm="1">
        <f t="array" ref="L21">_xlfn.IFS($B21=L$2, -1,
$C21=L$2, 1+$E21,
AND($B21&lt;L$2,$C21&gt;L$2), "&lt;---&gt;",
TRUE, ""
)</f>
        <v/>
      </c>
      <c r="M21" s="54" cm="1">
        <f t="array" ref="M21">_xlfn.IFS($B21=M$2, -1,
$C21=M$2, 1+$E21,
AND($B21&lt;M$2,$C21&gt;M$2), "&lt;---&gt;",
TRUE, ""
)</f>
        <v>-1</v>
      </c>
      <c r="N21" s="54" t="str" cm="1">
        <f t="array" ref="N21">_xlfn.IFS($B21=N$2, -1,
$C21=N$2, 1+$E21,
AND($B21&lt;N$2,$C21&gt;N$2), "&lt;---&gt;",
TRUE, ""
)</f>
        <v>&lt;---&gt;</v>
      </c>
      <c r="O21" s="54" t="str" cm="1">
        <f t="array" ref="O21">_xlfn.IFS($B21=O$2, -1,
$C21=O$2, 1+$E21,
AND($B21&lt;O$2,$C21&gt;O$2), "&lt;---&gt;",
TRUE, ""
)</f>
        <v>&lt;---&gt;</v>
      </c>
      <c r="T21" s="35"/>
      <c r="V21" s="48"/>
    </row>
    <row r="22" spans="1:22" ht="15" thickBot="1">
      <c r="A22" s="62" t="s">
        <v>7</v>
      </c>
      <c r="B22" s="63">
        <v>9</v>
      </c>
      <c r="C22" s="45">
        <f t="shared" si="0"/>
        <v>10</v>
      </c>
      <c r="D22" s="3">
        <v>490.19607843137254</v>
      </c>
      <c r="E22" s="36">
        <f>_xlfn.XLOOKUP(A22,T$14:T$22, V$14:V$22)</f>
        <v>0.02</v>
      </c>
      <c r="F22" s="54"/>
      <c r="G22" s="54"/>
      <c r="H22" s="54"/>
      <c r="I22" s="54"/>
      <c r="J22" s="54"/>
      <c r="K22" s="54"/>
      <c r="L22" s="54" t="str" cm="1">
        <f t="array" ref="L22">_xlfn.IFS($B22=L$2, -1,
$C22=L$2, 1+$E22,
AND($B22&lt;L$2,$C22&gt;L$2), "&lt;---&gt;",
TRUE, ""
)</f>
        <v/>
      </c>
      <c r="M22" s="54" t="str" cm="1">
        <f t="array" ref="M22">_xlfn.IFS($B22=M$2, -1,
$C22=M$2, 1+$E22,
AND($B22&lt;M$2,$C22&gt;M$2), "&lt;---&gt;",
TRUE, ""
)</f>
        <v/>
      </c>
      <c r="N22" s="54" cm="1">
        <f t="array" ref="N22">_xlfn.IFS($B22=N$2, -1,
$C22=N$2, 1+$E22,
AND($B22&lt;N$2,$C22&gt;N$2), "&lt;---&gt;",
TRUE, ""
)</f>
        <v>-1</v>
      </c>
      <c r="O22" s="54" cm="1">
        <f t="array" ref="O22">_xlfn.IFS($B22=O$2, -1,
$C22=O$2, 1+$E22,
AND($B22&lt;O$2,$C22&gt;O$2), "&lt;---&gt;",
TRUE, ""
)</f>
        <v>1.02</v>
      </c>
      <c r="T22" s="35"/>
      <c r="V22" s="48"/>
    </row>
    <row r="23" spans="1:22" ht="15" thickBot="1">
      <c r="A23" s="62" t="s">
        <v>9</v>
      </c>
      <c r="B23" s="63">
        <v>9</v>
      </c>
      <c r="C23" s="45">
        <f t="shared" si="0"/>
        <v>11</v>
      </c>
      <c r="D23" s="3">
        <v>0</v>
      </c>
      <c r="E23" s="36">
        <f>_xlfn.XLOOKUP(A23,T$14:T$22, V$14:V$22)</f>
        <v>4.2200000000000001E-2</v>
      </c>
      <c r="F23" s="54" t="str" cm="1">
        <f t="array" ref="F23">_xlfn.IFS($B23=F$2, -1,
$C23=F$2, 1+$E23,
AND($B23&lt;F$2,$C23&gt;F$2), "&lt;---&gt;",
TRUE, ""
)</f>
        <v/>
      </c>
      <c r="G23" s="54" t="str" cm="1">
        <f t="array" ref="G23">_xlfn.IFS($B23=G$2, -1,
$C23=G$2, 1+$E23,
AND($B23&lt;G$2,$C23&gt;G$2), "&lt;---&gt;",
TRUE, ""
)</f>
        <v/>
      </c>
      <c r="H23" s="54" t="str" cm="1">
        <f t="array" ref="H23">_xlfn.IFS($B23=H$2, -1,
$C23=H$2, 1+$E23,
AND($B23&lt;H$2,$C23&gt;H$2), "&lt;---&gt;",
TRUE, ""
)</f>
        <v/>
      </c>
      <c r="I23" s="54" t="str" cm="1">
        <f t="array" ref="I23">_xlfn.IFS($B23=I$2, -1,
$C23=I$2, 1+$E23,
AND($B23&lt;I$2,$C23&gt;I$2), "&lt;---&gt;",
TRUE, ""
)</f>
        <v/>
      </c>
      <c r="J23" s="54" t="str" cm="1">
        <f t="array" ref="J23">_xlfn.IFS($B23=J$2, -1,
$C23=J$2, 1+$E23,
AND($B23&lt;J$2,$C23&gt;J$2), "&lt;---&gt;",
TRUE, ""
)</f>
        <v/>
      </c>
      <c r="K23" s="54" t="str" cm="1">
        <f t="array" ref="K23">_xlfn.IFS($B23=K$2, -1,
$C23=K$2, 1+$E23,
AND($B23&lt;K$2,$C23&gt;K$2), "&lt;---&gt;",
TRUE, ""
)</f>
        <v/>
      </c>
      <c r="L23" s="54" t="str" cm="1">
        <f t="array" ref="L23">_xlfn.IFS($B23=L$2, -1,
$C23=L$2, 1+$E23,
AND($B23&lt;L$2,$C23&gt;L$2), "&lt;---&gt;",
TRUE, ""
)</f>
        <v/>
      </c>
      <c r="M23" s="54" t="str" cm="1">
        <f t="array" ref="M23">_xlfn.IFS($B23=M$2, -1,
$C23=M$2, 1+$E23,
AND($B23&lt;M$2,$C23&gt;M$2), "&lt;---&gt;",
TRUE, ""
)</f>
        <v/>
      </c>
      <c r="N23" s="54" cm="1">
        <f t="array" ref="N23">_xlfn.IFS($B23=N$2, -1,
$C23=N$2, 1+$E23,
AND($B23&lt;N$2,$C23&gt;N$2), "&lt;---&gt;",
TRUE, ""
)</f>
        <v>-1</v>
      </c>
      <c r="O23" s="54" t="str" cm="1">
        <f t="array" ref="O23">_xlfn.IFS($B23=O$2, -1,
$C23=O$2, 1+$E23,
AND($B23&lt;O$2,$C23&gt;O$2), "&lt;---&gt;",
TRUE, ""
)</f>
        <v>&lt;---&gt;</v>
      </c>
    </row>
    <row r="24" spans="1:22" ht="15" thickBot="1">
      <c r="A24" s="71" t="s">
        <v>26</v>
      </c>
      <c r="B24" s="71"/>
      <c r="C24" s="71"/>
      <c r="D24" s="52">
        <f>SUM(D3:D5)</f>
        <v>1110.5116167198773</v>
      </c>
      <c r="E24" s="72" t="s">
        <v>27</v>
      </c>
      <c r="F24" s="73"/>
      <c r="G24" s="51">
        <f>SUMPRODUCT(G3:G23,$D$3:$D$23)</f>
        <v>0</v>
      </c>
      <c r="H24" s="51">
        <f t="shared" ref="H24:O24" si="1">SUMPRODUCT(H3:H23,$D$3:$D$23)</f>
        <v>249.99999999999994</v>
      </c>
      <c r="I24" s="51">
        <f t="shared" si="1"/>
        <v>0</v>
      </c>
      <c r="J24" s="51">
        <f t="shared" si="1"/>
        <v>250.00000000000006</v>
      </c>
      <c r="K24" s="51">
        <f t="shared" si="1"/>
        <v>250</v>
      </c>
      <c r="L24" s="51">
        <f t="shared" si="1"/>
        <v>0</v>
      </c>
      <c r="M24" s="51">
        <f t="shared" si="1"/>
        <v>0</v>
      </c>
      <c r="N24" s="51">
        <f t="shared" si="1"/>
        <v>0</v>
      </c>
      <c r="O24" s="51">
        <f t="shared" si="1"/>
        <v>500</v>
      </c>
    </row>
    <row r="25" spans="1:22">
      <c r="E25" s="74" t="s">
        <v>28</v>
      </c>
      <c r="F25" s="74"/>
      <c r="G25" s="4">
        <v>0</v>
      </c>
      <c r="H25" s="4">
        <v>250</v>
      </c>
      <c r="I25" s="4">
        <v>0</v>
      </c>
      <c r="J25" s="4">
        <v>0</v>
      </c>
      <c r="K25" s="4">
        <v>250</v>
      </c>
      <c r="L25" s="4">
        <v>0</v>
      </c>
      <c r="M25" s="4">
        <v>0</v>
      </c>
      <c r="N25" s="4">
        <v>0</v>
      </c>
      <c r="O25" s="4">
        <v>500</v>
      </c>
    </row>
    <row r="38" spans="3:5" ht="15" thickBot="1"/>
    <row r="39" spans="3:5">
      <c r="C39" s="69"/>
      <c r="D39" s="65"/>
      <c r="E39" s="67"/>
    </row>
    <row r="40" spans="3:5">
      <c r="C40" s="70"/>
      <c r="D40" s="66"/>
      <c r="E40" s="68"/>
    </row>
    <row r="41" spans="3:5">
      <c r="C41" s="70"/>
      <c r="D41" s="66"/>
      <c r="E41" s="68"/>
    </row>
    <row r="42" spans="3:5">
      <c r="C42" s="35"/>
      <c r="E42" s="48"/>
    </row>
    <row r="43" spans="3:5">
      <c r="C43" s="35"/>
      <c r="E43" s="48"/>
    </row>
    <row r="44" spans="3:5">
      <c r="C44" s="35"/>
      <c r="E44" s="48"/>
    </row>
    <row r="45" spans="3:5">
      <c r="C45" s="35"/>
      <c r="E45" s="48"/>
    </row>
    <row r="46" spans="3:5" ht="15" thickBot="1">
      <c r="C46" s="49"/>
      <c r="D46" s="5"/>
      <c r="E46" s="50"/>
    </row>
  </sheetData>
  <mergeCells count="9">
    <mergeCell ref="U11:U13"/>
    <mergeCell ref="V11:V13"/>
    <mergeCell ref="C39:C41"/>
    <mergeCell ref="D39:D41"/>
    <mergeCell ref="E39:E41"/>
    <mergeCell ref="A24:C24"/>
    <mergeCell ref="E24:F24"/>
    <mergeCell ref="E25:F25"/>
    <mergeCell ref="T11:T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45F8C38E2F7449B81D360E8EC28DF" ma:contentTypeVersion="14" ma:contentTypeDescription="Create a new document." ma:contentTypeScope="" ma:versionID="27debc36873ec148a9f4fc7174f4a13e">
  <xsd:schema xmlns:xsd="http://www.w3.org/2001/XMLSchema" xmlns:xs="http://www.w3.org/2001/XMLSchema" xmlns:p="http://schemas.microsoft.com/office/2006/metadata/properties" xmlns:ns3="580d1518-9a38-4efc-9256-c61c5ecdae13" xmlns:ns4="62775453-3938-4fc9-879a-0b66d953608e" targetNamespace="http://schemas.microsoft.com/office/2006/metadata/properties" ma:root="true" ma:fieldsID="c29a525084485e219bf7f171ab5ec2e6" ns3:_="" ns4:_="">
    <xsd:import namespace="580d1518-9a38-4efc-9256-c61c5ecdae13"/>
    <xsd:import namespace="62775453-3938-4fc9-879a-0b66d95360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d1518-9a38-4efc-9256-c61c5ecdae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75453-3938-4fc9-879a-0b66d9536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775453-3938-4fc9-879a-0b66d953608e" xsi:nil="true"/>
  </documentManagement>
</p:properties>
</file>

<file path=customXml/itemProps1.xml><?xml version="1.0" encoding="utf-8"?>
<ds:datastoreItem xmlns:ds="http://schemas.openxmlformats.org/officeDocument/2006/customXml" ds:itemID="{B2A18E78-ED79-47FF-A1C6-2074A3B9946F}"/>
</file>

<file path=customXml/itemProps2.xml><?xml version="1.0" encoding="utf-8"?>
<ds:datastoreItem xmlns:ds="http://schemas.openxmlformats.org/officeDocument/2006/customXml" ds:itemID="{E783BF99-A959-4893-9E27-636729B134BD}"/>
</file>

<file path=customXml/itemProps3.xml><?xml version="1.0" encoding="utf-8"?>
<ds:datastoreItem xmlns:ds="http://schemas.openxmlformats.org/officeDocument/2006/customXml" ds:itemID="{49CFF4C5-1992-4152-920B-06D989206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/>
  <cp:revision/>
  <dcterms:created xsi:type="dcterms:W3CDTF">2025-02-26T23:32:38Z</dcterms:created>
  <dcterms:modified xsi:type="dcterms:W3CDTF">2025-03-31T15:55:38Z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0x010100C0C45F8C38E2F7449B81D360E8EC28DF</vt:lpwstr>
  </property>
</Properties>
</file>