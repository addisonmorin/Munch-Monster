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F2A0E90C-94B5-4F15-9014-CB01F29A35B8}" xr6:coauthVersionLast="47" xr6:coauthVersionMax="47" xr10:uidLastSave="{00000000-0000-0000-0000-000000000000}"/>
  <bookViews>
    <workbookView xWindow="9290" yWindow="0" windowWidth="10000" windowHeight="10170" activeTab="1" xr2:uid="{CF03D53B-5031-4960-AF8B-03075C7721D8}"/>
  </bookViews>
  <sheets>
    <sheet name="Solve-It" sheetId="4" r:id="rId1"/>
    <sheet name="Solution" sheetId="1" r:id="rId2"/>
  </sheets>
  <definedNames>
    <definedName name="solver_adj" localSheetId="1" hidden="1">Solution!$B$5:$C$5,Solution!$B$18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Solution!$B$5:$C$5</definedName>
    <definedName name="solver_lhs1" localSheetId="0" hidden="1">'Solve-It'!$B$5:$C$5</definedName>
    <definedName name="solver_lhs2" localSheetId="1" hidden="1">Solution!$D$13:$D$15</definedName>
    <definedName name="solver_lhs2" localSheetId="0" hidden="1">'Solve-It'!$D$13:$D$15</definedName>
    <definedName name="solver_lhs3" localSheetId="1" hidden="1">Solution!$I$8:$I$10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3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Solution!$B$18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3</definedName>
    <definedName name="solver_rel1" localSheetId="0" hidden="1">3</definedName>
    <definedName name="solver_rel2" localSheetId="1" hidden="1">3</definedName>
    <definedName name="solver_rel2" localSheetId="0" hidden="1">3</definedName>
    <definedName name="solver_rel3" localSheetId="1" hidden="1">1</definedName>
    <definedName name="solver_rhs1" localSheetId="1" hidden="1">0</definedName>
    <definedName name="solver_rhs1" localSheetId="0" hidden="1">0</definedName>
    <definedName name="solver_rhs2" localSheetId="1" hidden="1">Solution!$E$13:$E$15</definedName>
    <definedName name="solver_rhs2" localSheetId="0" hidden="1">'Solve-It'!$E$13:$E$15</definedName>
    <definedName name="solver_rhs3" localSheetId="1" hidden="1">Solution!$B$18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F10" i="1" s="1"/>
  <c r="G10" i="1" s="1"/>
  <c r="I10" i="1" s="1"/>
  <c r="D9" i="1"/>
  <c r="F9" i="1" s="1"/>
  <c r="G9" i="1" s="1"/>
  <c r="I9" i="1" s="1"/>
  <c r="D8" i="1"/>
  <c r="F8" i="1" s="1"/>
  <c r="G8" i="1" s="1"/>
  <c r="I8" i="1" s="1"/>
  <c r="D14" i="1"/>
  <c r="D15" i="1"/>
  <c r="D13" i="1"/>
</calcChain>
</file>

<file path=xl/sharedStrings.xml><?xml version="1.0" encoding="utf-8"?>
<sst xmlns="http://schemas.openxmlformats.org/spreadsheetml/2006/main" count="37" uniqueCount="22">
  <si>
    <t>Months to operate</t>
  </si>
  <si>
    <t>Objectives</t>
  </si>
  <si>
    <t>Cost per month</t>
  </si>
  <si>
    <t>Toxins per month</t>
  </si>
  <si>
    <t>Accidents per month</t>
  </si>
  <si>
    <t>Constraints</t>
  </si>
  <si>
    <t>HG coal produced</t>
  </si>
  <si>
    <t>MG coal produced</t>
  </si>
  <si>
    <t>LG coal produced</t>
  </si>
  <si>
    <t>Wythe</t>
  </si>
  <si>
    <t>Giles</t>
  </si>
  <si>
    <t>Available</t>
  </si>
  <si>
    <t>Required</t>
  </si>
  <si>
    <t>Totals</t>
  </si>
  <si>
    <t>Target Value</t>
  </si>
  <si>
    <t>% Deviation</t>
  </si>
  <si>
    <t>Weight</t>
  </si>
  <si>
    <t>Weighted % Deviation</t>
  </si>
  <si>
    <t>Objective</t>
  </si>
  <si>
    <t>MiniMax Variable</t>
  </si>
  <si>
    <t>Blackstone Mining Co.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</si>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</sst>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&quot;$&quot;* #,##0.0_);_(&quot;$&quot;* \(#,##0.0\);_(&quot;$&quot;* &quot;-&quot;??_);_(@_)"/>
    <numFmt numFmtId="167" formatCode="_(&quot;$&quot;* #,##0.0_);_(&quot;$&quot;* \(#,##0.0\);_(&quot;$&quot;* &quot;-&quot;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2" fontId="0" fillId="0" borderId="0" xfId="0" applyNumberFormat="1"/>
    <xf numFmtId="6" fontId="2" fillId="0" borderId="0" xfId="0" applyNumberFormat="1" applyFont="1"/>
    <xf numFmtId="2" fontId="2" fillId="0" borderId="0" xfId="0" applyNumberFormat="1" applyFont="1"/>
    <xf numFmtId="165" fontId="2" fillId="0" borderId="0" xfId="1" applyNumberFormat="1" applyFont="1"/>
    <xf numFmtId="1" fontId="6" fillId="3" borderId="0" xfId="0" applyNumberFormat="1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2" fontId="7" fillId="3" borderId="0" xfId="0" applyNumberFormat="1" applyFont="1" applyFill="1" applyAlignment="1">
      <alignment horizontal="center"/>
    </xf>
    <xf numFmtId="166" fontId="7" fillId="3" borderId="0" xfId="2" applyNumberFormat="1" applyFont="1" applyFill="1" applyAlignment="1">
      <alignment horizontal="center"/>
    </xf>
    <xf numFmtId="164" fontId="0" fillId="0" borderId="0" xfId="0" applyNumberFormat="1"/>
    <xf numFmtId="167" fontId="0" fillId="0" borderId="0" xfId="0" applyNumberFormat="1"/>
    <xf numFmtId="166" fontId="3" fillId="0" borderId="0" xfId="2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0" fontId="6" fillId="3" borderId="0" xfId="3" applyNumberFormat="1" applyFont="1" applyFill="1" applyAlignment="1">
      <alignment horizontal="center"/>
    </xf>
    <xf numFmtId="10" fontId="0" fillId="0" borderId="0" xfId="3" applyNumberFormat="1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0" fontId="7" fillId="3" borderId="0" xfId="3" applyNumberFormat="1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7419-EE53-4FFB-8490-FEA5CC19C1B8}">
  <dimension ref="A2:F15"/>
  <sheetViews>
    <sheetView zoomScale="90" zoomScaleNormal="90" workbookViewId="0"/>
  </sheetViews>
  <sheetFormatPr defaultRowHeight="14.5" x14ac:dyDescent="0.35"/>
  <cols>
    <col min="1" max="1" width="20.54296875" bestFit="1" customWidth="1"/>
    <col min="2" max="2" width="9" bestFit="1" customWidth="1"/>
    <col min="3" max="3" width="9.453125" bestFit="1" customWidth="1"/>
  </cols>
  <sheetData>
    <row r="2" spans="1:6" x14ac:dyDescent="0.35">
      <c r="B2" s="22" t="s">
        <v>20</v>
      </c>
      <c r="C2" s="22"/>
      <c r="D2" s="22"/>
      <c r="E2" s="22"/>
      <c r="F2" s="22"/>
    </row>
    <row r="3" spans="1:6" x14ac:dyDescent="0.35">
      <c r="B3" s="22"/>
      <c r="C3" s="22"/>
      <c r="D3" s="22"/>
      <c r="E3" s="22"/>
      <c r="F3" s="22"/>
    </row>
    <row r="4" spans="1:6" x14ac:dyDescent="0.35">
      <c r="B4" s="4" t="s">
        <v>9</v>
      </c>
      <c r="C4" s="4" t="s">
        <v>10</v>
      </c>
    </row>
    <row r="5" spans="1:6" x14ac:dyDescent="0.35">
      <c r="A5" s="3" t="s">
        <v>0</v>
      </c>
      <c r="B5" s="2"/>
      <c r="C5" s="2"/>
    </row>
    <row r="6" spans="1:6" x14ac:dyDescent="0.35">
      <c r="A6" s="3"/>
    </row>
    <row r="7" spans="1:6" x14ac:dyDescent="0.35">
      <c r="A7" s="3" t="s">
        <v>1</v>
      </c>
      <c r="D7" s="4" t="s">
        <v>13</v>
      </c>
    </row>
    <row r="8" spans="1:6" x14ac:dyDescent="0.35">
      <c r="A8" s="5" t="s">
        <v>2</v>
      </c>
      <c r="B8" s="7">
        <v>40</v>
      </c>
      <c r="C8" s="7">
        <v>32</v>
      </c>
      <c r="D8" s="13"/>
    </row>
    <row r="9" spans="1:6" x14ac:dyDescent="0.35">
      <c r="A9" s="5" t="s">
        <v>3</v>
      </c>
      <c r="B9" s="9">
        <v>800</v>
      </c>
      <c r="C9" s="9">
        <v>1250</v>
      </c>
      <c r="D9" s="11"/>
    </row>
    <row r="10" spans="1:6" x14ac:dyDescent="0.35">
      <c r="A10" s="5" t="s">
        <v>4</v>
      </c>
      <c r="B10" s="8">
        <v>0.2</v>
      </c>
      <c r="C10" s="3">
        <v>0.45</v>
      </c>
      <c r="D10" s="12"/>
    </row>
    <row r="11" spans="1:6" x14ac:dyDescent="0.35">
      <c r="A11" s="3"/>
    </row>
    <row r="12" spans="1:6" x14ac:dyDescent="0.35">
      <c r="A12" s="3" t="s">
        <v>5</v>
      </c>
      <c r="D12" s="4" t="s">
        <v>11</v>
      </c>
      <c r="E12" s="4" t="s">
        <v>12</v>
      </c>
    </row>
    <row r="13" spans="1:6" x14ac:dyDescent="0.35">
      <c r="A13" s="5" t="s">
        <v>6</v>
      </c>
      <c r="B13">
        <v>12</v>
      </c>
      <c r="C13">
        <v>4</v>
      </c>
      <c r="D13" s="10"/>
      <c r="E13" s="4">
        <v>48</v>
      </c>
    </row>
    <row r="14" spans="1:6" x14ac:dyDescent="0.35">
      <c r="A14" s="5" t="s">
        <v>7</v>
      </c>
      <c r="B14">
        <v>4</v>
      </c>
      <c r="C14">
        <v>4</v>
      </c>
      <c r="D14" s="10"/>
      <c r="E14" s="4">
        <v>28</v>
      </c>
    </row>
    <row r="15" spans="1:6" x14ac:dyDescent="0.35">
      <c r="A15" s="5" t="s">
        <v>8</v>
      </c>
      <c r="B15">
        <v>10</v>
      </c>
      <c r="C15">
        <v>20</v>
      </c>
      <c r="D15" s="10"/>
      <c r="E15" s="4">
        <v>100</v>
      </c>
    </row>
  </sheetData>
  <mergeCells count="1">
    <mergeCell ref="B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2869-6CA2-4209-A58E-388315AB8333}">
  <dimension ref="A2:I18"/>
  <sheetViews>
    <sheetView tabSelected="1" zoomScale="80" zoomScaleNormal="80" workbookViewId="0">
      <selection activeCell="B18" sqref="B18"/>
    </sheetView>
  </sheetViews>
  <sheetFormatPr defaultRowHeight="14.5" x14ac:dyDescent="0.35"/>
  <cols>
    <col min="1" max="1" width="20.54296875" bestFit="1" customWidth="1"/>
    <col min="2" max="2" width="9" bestFit="1" customWidth="1"/>
    <col min="3" max="3" width="9.453125" bestFit="1" customWidth="1"/>
    <col min="9" max="9" width="11.453125" customWidth="1"/>
  </cols>
  <sheetData>
    <row r="2" spans="1:9" x14ac:dyDescent="0.35">
      <c r="B2" s="22" t="s">
        <v>20</v>
      </c>
      <c r="C2" s="22"/>
      <c r="D2" s="22"/>
      <c r="E2" s="22"/>
      <c r="F2" s="22"/>
    </row>
    <row r="3" spans="1:9" x14ac:dyDescent="0.35">
      <c r="B3" s="22"/>
      <c r="C3" s="22"/>
      <c r="D3" s="22"/>
      <c r="E3" s="22"/>
      <c r="F3" s="22"/>
    </row>
    <row r="4" spans="1:9" x14ac:dyDescent="0.35">
      <c r="B4" s="4" t="s">
        <v>9</v>
      </c>
      <c r="C4" s="4" t="s">
        <v>10</v>
      </c>
    </row>
    <row r="5" spans="1:9" x14ac:dyDescent="0.35">
      <c r="A5" s="3" t="s">
        <v>0</v>
      </c>
      <c r="B5" s="2">
        <v>4.232902033271718</v>
      </c>
      <c r="C5" s="2">
        <v>2.8835489833641414</v>
      </c>
    </row>
    <row r="6" spans="1:9" x14ac:dyDescent="0.35">
      <c r="A6" s="3"/>
      <c r="E6" s="23" t="s">
        <v>14</v>
      </c>
      <c r="F6" s="24" t="s">
        <v>21</v>
      </c>
      <c r="G6" s="23" t="s">
        <v>15</v>
      </c>
      <c r="I6" s="23" t="s">
        <v>17</v>
      </c>
    </row>
    <row r="7" spans="1:9" x14ac:dyDescent="0.35">
      <c r="A7" s="3" t="s">
        <v>1</v>
      </c>
      <c r="D7" s="4" t="s">
        <v>13</v>
      </c>
      <c r="E7" s="23"/>
      <c r="F7" s="24"/>
      <c r="G7" s="23"/>
      <c r="H7" s="4" t="s">
        <v>16</v>
      </c>
      <c r="I7" s="23"/>
    </row>
    <row r="8" spans="1:9" x14ac:dyDescent="0.35">
      <c r="A8" s="5" t="s">
        <v>2</v>
      </c>
      <c r="B8" s="7">
        <v>40</v>
      </c>
      <c r="C8" s="7">
        <v>32</v>
      </c>
      <c r="D8" s="16">
        <f>SUMPRODUCT($B$5:$C$5,B8:C8)</f>
        <v>261.58964879852124</v>
      </c>
      <c r="E8" s="4">
        <v>244</v>
      </c>
      <c r="F8" s="15">
        <f>D8-E8</f>
        <v>17.589648798521239</v>
      </c>
      <c r="G8" s="20">
        <f>F8/E8</f>
        <v>7.2088724584103439E-2</v>
      </c>
      <c r="H8" s="1">
        <v>1</v>
      </c>
      <c r="I8" s="19">
        <f>H8*G8</f>
        <v>7.2088724584103439E-2</v>
      </c>
    </row>
    <row r="9" spans="1:9" x14ac:dyDescent="0.35">
      <c r="A9" s="5" t="s">
        <v>3</v>
      </c>
      <c r="B9" s="9">
        <v>800</v>
      </c>
      <c r="C9" s="9">
        <v>1250</v>
      </c>
      <c r="D9" s="17">
        <f t="shared" ref="D9:D10" si="0">SUMPRODUCT($B$5:$C$5,B9:C9)</f>
        <v>6990.7578558225514</v>
      </c>
      <c r="E9" s="4">
        <v>6950</v>
      </c>
      <c r="F9" s="14">
        <f>D9-E9</f>
        <v>40.757855822551392</v>
      </c>
      <c r="G9" s="20">
        <f t="shared" ref="G9:G10" si="1">F9/E9</f>
        <v>5.8644396866980421E-3</v>
      </c>
      <c r="H9" s="1">
        <v>1</v>
      </c>
      <c r="I9" s="19">
        <f t="shared" ref="I9:I10" si="2">H9*G9</f>
        <v>5.8644396866980421E-3</v>
      </c>
    </row>
    <row r="10" spans="1:9" x14ac:dyDescent="0.35">
      <c r="A10" s="5" t="s">
        <v>4</v>
      </c>
      <c r="B10" s="8">
        <v>0.2</v>
      </c>
      <c r="C10" s="3">
        <v>0.45</v>
      </c>
      <c r="D10" s="18">
        <f t="shared" si="0"/>
        <v>2.1441774491682075</v>
      </c>
      <c r="E10" s="4">
        <v>2</v>
      </c>
      <c r="F10" s="6">
        <f>D10-E10</f>
        <v>0.14417744916820752</v>
      </c>
      <c r="G10" s="20">
        <f t="shared" si="1"/>
        <v>7.2088724584103758E-2</v>
      </c>
      <c r="H10" s="1">
        <v>1</v>
      </c>
      <c r="I10" s="19">
        <f t="shared" si="2"/>
        <v>7.2088724584103758E-2</v>
      </c>
    </row>
    <row r="11" spans="1:9" x14ac:dyDescent="0.35">
      <c r="A11" s="3"/>
    </row>
    <row r="12" spans="1:9" x14ac:dyDescent="0.35">
      <c r="A12" s="3" t="s">
        <v>5</v>
      </c>
      <c r="D12" s="4" t="s">
        <v>11</v>
      </c>
      <c r="E12" s="4" t="s">
        <v>12</v>
      </c>
    </row>
    <row r="13" spans="1:9" x14ac:dyDescent="0.35">
      <c r="A13" s="5" t="s">
        <v>6</v>
      </c>
      <c r="B13">
        <v>12</v>
      </c>
      <c r="C13">
        <v>4</v>
      </c>
      <c r="D13" s="10">
        <f>SUMPRODUCT($B$5:$C$5,B13:C13)</f>
        <v>62.329020332717185</v>
      </c>
      <c r="E13" s="4">
        <v>48</v>
      </c>
    </row>
    <row r="14" spans="1:9" x14ac:dyDescent="0.35">
      <c r="A14" s="5" t="s">
        <v>7</v>
      </c>
      <c r="B14">
        <v>4</v>
      </c>
      <c r="C14">
        <v>4</v>
      </c>
      <c r="D14" s="10">
        <f t="shared" ref="D14:D15" si="3">SUMPRODUCT($B$5:$C$5,B14:C14)</f>
        <v>28.465804066543438</v>
      </c>
      <c r="E14" s="4">
        <v>28</v>
      </c>
    </row>
    <row r="15" spans="1:9" x14ac:dyDescent="0.35">
      <c r="A15" s="5" t="s">
        <v>8</v>
      </c>
      <c r="B15">
        <v>10</v>
      </c>
      <c r="C15">
        <v>20</v>
      </c>
      <c r="D15" s="10">
        <f t="shared" si="3"/>
        <v>100</v>
      </c>
      <c r="E15" s="4">
        <v>100</v>
      </c>
    </row>
    <row r="17" spans="1:2" x14ac:dyDescent="0.35">
      <c r="A17" s="21" t="s">
        <v>18</v>
      </c>
    </row>
    <row r="18" spans="1:2" x14ac:dyDescent="0.35">
      <c r="A18" s="5" t="s">
        <v>19</v>
      </c>
      <c r="B18" s="25">
        <v>7.2088724584103411E-2</v>
      </c>
    </row>
  </sheetData>
  <mergeCells count="5">
    <mergeCell ref="B2:F3"/>
    <mergeCell ref="E6:E7"/>
    <mergeCell ref="F6:F7"/>
    <mergeCell ref="G6:G7"/>
    <mergeCell ref="I6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Solve-It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Harris</dc:creator>
  <cp:lastModifiedBy>Addison Morin</cp:lastModifiedBy>
  <dcterms:created xsi:type="dcterms:W3CDTF">2025-04-14T01:13:01Z</dcterms:created>
  <dcterms:modified xsi:type="dcterms:W3CDTF">2025-04-17T16:50:44Z</dcterms:modified>
</cp:coreProperties>
</file>