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Module 10\"/>
    </mc:Choice>
  </mc:AlternateContent>
  <xr:revisionPtr revIDLastSave="0" documentId="8_{D1914522-97C1-478F-9223-961AF20B858F}" xr6:coauthVersionLast="47" xr6:coauthVersionMax="47" xr10:uidLastSave="{00000000-0000-0000-0000-000000000000}"/>
  <bookViews>
    <workbookView xWindow="-110" yWindow="-110" windowWidth="19420" windowHeight="10300" activeTab="1" xr2:uid="{DD6C558D-CA88-493F-A1B4-8D845C0B24E8}"/>
  </bookViews>
  <sheets>
    <sheet name="Data" sheetId="1" r:id="rId1"/>
    <sheet name="Model" sheetId="2" r:id="rId2"/>
  </sheets>
  <definedNames>
    <definedName name="solver_adj" localSheetId="1" hidden="1">Model!$B$5:$B$28,Model!$T$21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Model!$B$5:$B$28</definedName>
    <definedName name="solver_lhs2" localSheetId="1" hidden="1">Model!$V$5:$V$11</definedName>
    <definedName name="solver_lhs3" localSheetId="1" hidden="1">Model!$X$15:$X$18</definedName>
    <definedName name="solver_lhs4" localSheetId="1" hidden="1">Model!$V$5:$V$11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nwt" localSheetId="1" hidden="1">1</definedName>
    <definedName name="solver_opt" localSheetId="1" hidden="1">Model!$O$20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2</definedName>
    <definedName name="solver_rel3" localSheetId="1" hidden="1">1</definedName>
    <definedName name="solver_rel4" localSheetId="1" hidden="1">2</definedName>
    <definedName name="solver_rhs1" localSheetId="1" hidden="1">0</definedName>
    <definedName name="solver_rhs2" localSheetId="1" hidden="1">Model!$W$5:$W$11</definedName>
    <definedName name="solver_rhs3" localSheetId="1" hidden="1">Model!$T$21</definedName>
    <definedName name="solver_rhs4" localSheetId="1" hidden="1">Model!$W$5:$W$11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0"/>
</workbook>
</file>

<file path=xl/calcChain.xml><?xml version="1.0" encoding="utf-8"?>
<calcChain xmlns="http://schemas.openxmlformats.org/spreadsheetml/2006/main">
  <c r="I12" i="2" l="1"/>
  <c r="J11" i="2"/>
  <c r="J10" i="2"/>
  <c r="J9" i="2"/>
  <c r="I9" i="2"/>
  <c r="J7" i="2"/>
  <c r="I7" i="2"/>
  <c r="J6" i="2"/>
  <c r="I6" i="2"/>
  <c r="H5" i="2"/>
  <c r="H28" i="2"/>
  <c r="G27" i="2"/>
  <c r="H23" i="2"/>
  <c r="G23" i="2"/>
  <c r="H20" i="2"/>
  <c r="G20" i="2"/>
  <c r="H15" i="2"/>
  <c r="G15" i="2"/>
  <c r="H13" i="2"/>
  <c r="G13" i="2"/>
  <c r="H9" i="2"/>
  <c r="G9" i="2"/>
  <c r="S17" i="2" l="1"/>
  <c r="U17" i="2" s="1"/>
  <c r="S18" i="2"/>
  <c r="U18" i="2" s="1"/>
  <c r="V18" i="2" s="1"/>
  <c r="X18" i="2" s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5" i="2"/>
  <c r="S15" i="2"/>
  <c r="U15" i="2" s="1"/>
  <c r="V15" i="2" s="1"/>
  <c r="X15" i="2" s="1"/>
  <c r="T6" i="2"/>
  <c r="T7" i="2"/>
  <c r="T8" i="2"/>
  <c r="T9" i="2"/>
  <c r="T10" i="2"/>
  <c r="T11" i="2"/>
  <c r="T5" i="2"/>
  <c r="J8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5" i="2"/>
  <c r="I8" i="2"/>
  <c r="I10" i="2"/>
  <c r="I11" i="2"/>
  <c r="I13" i="2"/>
  <c r="I14" i="2"/>
  <c r="I15" i="2"/>
  <c r="I16" i="2"/>
  <c r="I17" i="2"/>
  <c r="L17" i="2" s="1"/>
  <c r="I18" i="2"/>
  <c r="I19" i="2"/>
  <c r="I20" i="2"/>
  <c r="I21" i="2"/>
  <c r="I22" i="2"/>
  <c r="I23" i="2"/>
  <c r="I24" i="2"/>
  <c r="I25" i="2"/>
  <c r="L25" i="2" s="1"/>
  <c r="I26" i="2"/>
  <c r="I27" i="2"/>
  <c r="I28" i="2"/>
  <c r="I5" i="2"/>
  <c r="G5" i="2"/>
  <c r="H6" i="2"/>
  <c r="H7" i="2"/>
  <c r="H8" i="2"/>
  <c r="H10" i="2"/>
  <c r="H11" i="2"/>
  <c r="H12" i="2"/>
  <c r="H14" i="2"/>
  <c r="H16" i="2"/>
  <c r="H17" i="2"/>
  <c r="H18" i="2"/>
  <c r="H19" i="2"/>
  <c r="H21" i="2"/>
  <c r="H22" i="2"/>
  <c r="H24" i="2"/>
  <c r="H25" i="2"/>
  <c r="H26" i="2"/>
  <c r="H27" i="2"/>
  <c r="G6" i="2"/>
  <c r="G7" i="2"/>
  <c r="G8" i="2"/>
  <c r="G10" i="2"/>
  <c r="G11" i="2"/>
  <c r="G12" i="2"/>
  <c r="G14" i="2"/>
  <c r="G16" i="2"/>
  <c r="G17" i="2"/>
  <c r="G18" i="2"/>
  <c r="G19" i="2"/>
  <c r="G21" i="2"/>
  <c r="G22" i="2"/>
  <c r="G24" i="2"/>
  <c r="G25" i="2"/>
  <c r="G26" i="2"/>
  <c r="G28" i="2"/>
  <c r="U6" i="2"/>
  <c r="U7" i="2"/>
  <c r="U8" i="2"/>
  <c r="U9" i="2"/>
  <c r="U10" i="2"/>
  <c r="U11" i="2"/>
  <c r="U5" i="2"/>
  <c r="V17" i="2" l="1"/>
  <c r="X17" i="2" s="1"/>
  <c r="L9" i="2"/>
  <c r="L14" i="2"/>
  <c r="L21" i="2"/>
  <c r="L12" i="2"/>
  <c r="L27" i="2"/>
  <c r="L19" i="2"/>
  <c r="L26" i="2"/>
  <c r="L18" i="2"/>
  <c r="L10" i="2"/>
  <c r="L22" i="2"/>
  <c r="L13" i="2"/>
  <c r="L20" i="2"/>
  <c r="L11" i="2"/>
  <c r="L6" i="2"/>
  <c r="L5" i="2"/>
  <c r="L28" i="2"/>
  <c r="L23" i="2"/>
  <c r="L15" i="2"/>
  <c r="L7" i="2"/>
  <c r="L24" i="2"/>
  <c r="L16" i="2"/>
  <c r="L8" i="2"/>
  <c r="V5" i="2"/>
  <c r="V9" i="2"/>
  <c r="V7" i="2"/>
  <c r="V10" i="2"/>
  <c r="V8" i="2"/>
  <c r="V6" i="2"/>
  <c r="V11" i="2"/>
  <c r="S16" i="2" l="1"/>
  <c r="U16" i="2" l="1"/>
  <c r="V16" i="2" s="1"/>
  <c r="X16" i="2" s="1"/>
</calcChain>
</file>

<file path=xl/sharedStrings.xml><?xml version="1.0" encoding="utf-8"?>
<sst xmlns="http://schemas.openxmlformats.org/spreadsheetml/2006/main" count="151" uniqueCount="56">
  <si>
    <t>location_id</t>
  </si>
  <si>
    <t>location_name</t>
  </si>
  <si>
    <t>latitude</t>
  </si>
  <si>
    <t>longitude</t>
  </si>
  <si>
    <t>supply</t>
  </si>
  <si>
    <t>demand</t>
  </si>
  <si>
    <t>Butter Pecan Bluff</t>
  </si>
  <si>
    <t>Fruity Gusher Geyser</t>
  </si>
  <si>
    <t>Gingerbread Glades</t>
  </si>
  <si>
    <t>Jellybean Jungle</t>
  </si>
  <si>
    <t>Popping Candy Plains</t>
  </si>
  <si>
    <t>Pudding Peaks</t>
  </si>
  <si>
    <t>Turkish Delight Tundra</t>
  </si>
  <si>
    <t>from</t>
  </si>
  <si>
    <t>to</t>
  </si>
  <si>
    <t>cost_per_unit_shipped</t>
  </si>
  <si>
    <t>transportation_method</t>
  </si>
  <si>
    <t>congestion_level</t>
  </si>
  <si>
    <t>Electrified Rail</t>
  </si>
  <si>
    <t>Air Freight</t>
  </si>
  <si>
    <t>Cargo Ships (Heavy Fuel Oil)</t>
  </si>
  <si>
    <t>Wind-powered Ships</t>
  </si>
  <si>
    <t>Slow Steaming Cargo Ships</t>
  </si>
  <si>
    <t>Diesel Rail</t>
  </si>
  <si>
    <t>Diesel Trucks</t>
  </si>
  <si>
    <t>Electric/Hybrid Trucks</t>
  </si>
  <si>
    <t>From</t>
  </si>
  <si>
    <t>To</t>
  </si>
  <si>
    <t>Distance</t>
  </si>
  <si>
    <t>Transportation Method</t>
  </si>
  <si>
    <t>Congestion</t>
  </si>
  <si>
    <t>Nodes</t>
  </si>
  <si>
    <t>Inflow</t>
  </si>
  <si>
    <t>Outflow</t>
  </si>
  <si>
    <t>Net Flow</t>
  </si>
  <si>
    <t>Ship</t>
  </si>
  <si>
    <t xml:space="preserve">Unit Cost </t>
  </si>
  <si>
    <t>Supply/Demand</t>
  </si>
  <si>
    <t>Lat from</t>
  </si>
  <si>
    <t>Long from</t>
  </si>
  <si>
    <t xml:space="preserve">Lat to </t>
  </si>
  <si>
    <t>Long to</t>
  </si>
  <si>
    <t>Minimize transportation</t>
  </si>
  <si>
    <t>Minimize Distance</t>
  </si>
  <si>
    <t>Minimize Congestion</t>
  </si>
  <si>
    <t>Eco Friendly</t>
  </si>
  <si>
    <t xml:space="preserve"> High/Low</t>
  </si>
  <si>
    <t>non eco</t>
  </si>
  <si>
    <t>Deviation</t>
  </si>
  <si>
    <t>% Deviation</t>
  </si>
  <si>
    <t>Weighted % Deviation</t>
  </si>
  <si>
    <t>Weight</t>
  </si>
  <si>
    <t>Totals</t>
  </si>
  <si>
    <t>Target</t>
  </si>
  <si>
    <t>Minimax Variable</t>
  </si>
  <si>
    <t>Minimize non eco-friendly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</si>
</sst>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1" fillId="6" borderId="4" xfId="13"/>
    <xf numFmtId="0" fontId="16" fillId="0" borderId="0" xfId="0" applyFont="1"/>
    <xf numFmtId="44" fontId="0" fillId="0" borderId="0" xfId="1" applyFont="1"/>
    <xf numFmtId="165" fontId="0" fillId="0" borderId="0" xfId="1" applyNumberFormat="1" applyFont="1"/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Fill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10" fontId="0" fillId="0" borderId="0" xfId="2" applyNumberFormat="1" applyFont="1"/>
    <xf numFmtId="0" fontId="0" fillId="0" borderId="0" xfId="0" applyAlignment="1">
      <alignment horizontal="center"/>
    </xf>
    <xf numFmtId="10" fontId="18" fillId="36" borderId="0" xfId="2" applyNumberFormat="1" applyFont="1" applyFill="1" applyAlignment="1">
      <alignment horizontal="center"/>
    </xf>
    <xf numFmtId="9" fontId="0" fillId="0" borderId="0" xfId="2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A598-D9C5-4281-BB09-ECFCDD48C229}">
  <dimension ref="A1:L25"/>
  <sheetViews>
    <sheetView zoomScale="70" zoomScaleNormal="70" workbookViewId="0">
      <selection activeCell="F11" sqref="F11"/>
    </sheetView>
  </sheetViews>
  <sheetFormatPr defaultRowHeight="14.5" x14ac:dyDescent="0.35"/>
  <cols>
    <col min="1" max="1" width="9.6328125" bestFit="1" customWidth="1"/>
    <col min="2" max="2" width="18.81640625" bestFit="1" customWidth="1"/>
    <col min="3" max="3" width="7" bestFit="1" customWidth="1"/>
    <col min="4" max="4" width="8.26953125" bestFit="1" customWidth="1"/>
    <col min="5" max="5" width="6" bestFit="1" customWidth="1"/>
    <col min="6" max="6" width="7.36328125" bestFit="1" customWidth="1"/>
    <col min="8" max="8" width="4.54296875" bestFit="1" customWidth="1"/>
    <col min="9" max="9" width="2.453125" bestFit="1" customWidth="1"/>
    <col min="10" max="10" width="19.08984375" bestFit="1" customWidth="1"/>
    <col min="11" max="11" width="23.6328125" bestFit="1" customWidth="1"/>
    <col min="12" max="12" width="14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35">
      <c r="A2">
        <v>1</v>
      </c>
      <c r="B2" t="s">
        <v>6</v>
      </c>
      <c r="C2">
        <v>37.5</v>
      </c>
      <c r="D2">
        <v>-102.5</v>
      </c>
      <c r="E2">
        <v>10047</v>
      </c>
      <c r="H2">
        <v>1</v>
      </c>
      <c r="I2">
        <v>2</v>
      </c>
      <c r="J2">
        <v>11</v>
      </c>
      <c r="K2" t="s">
        <v>18</v>
      </c>
      <c r="L2">
        <v>95</v>
      </c>
    </row>
    <row r="3" spans="1:12" x14ac:dyDescent="0.35">
      <c r="A3">
        <v>2</v>
      </c>
      <c r="B3" t="s">
        <v>7</v>
      </c>
      <c r="C3">
        <v>31.68</v>
      </c>
      <c r="D3">
        <v>-118.85</v>
      </c>
      <c r="F3">
        <v>1711</v>
      </c>
      <c r="H3">
        <v>1</v>
      </c>
      <c r="I3">
        <v>5</v>
      </c>
      <c r="J3">
        <v>7</v>
      </c>
      <c r="K3" t="s">
        <v>19</v>
      </c>
      <c r="L3">
        <v>20</v>
      </c>
    </row>
    <row r="4" spans="1:12" x14ac:dyDescent="0.35">
      <c r="A4">
        <v>3</v>
      </c>
      <c r="B4" t="s">
        <v>8</v>
      </c>
      <c r="C4">
        <v>44.19</v>
      </c>
      <c r="D4">
        <v>-101.34</v>
      </c>
      <c r="F4">
        <v>1684</v>
      </c>
      <c r="H4">
        <v>1</v>
      </c>
      <c r="I4">
        <v>6</v>
      </c>
      <c r="J4">
        <v>18</v>
      </c>
      <c r="K4" t="s">
        <v>20</v>
      </c>
      <c r="L4">
        <v>73</v>
      </c>
    </row>
    <row r="5" spans="1:12" x14ac:dyDescent="0.35">
      <c r="A5">
        <v>4</v>
      </c>
      <c r="B5" t="s">
        <v>9</v>
      </c>
      <c r="C5">
        <v>38.86</v>
      </c>
      <c r="D5">
        <v>-114.75</v>
      </c>
      <c r="F5">
        <v>1297</v>
      </c>
      <c r="H5">
        <v>1</v>
      </c>
      <c r="I5">
        <v>7</v>
      </c>
      <c r="J5">
        <v>18</v>
      </c>
      <c r="K5" t="s">
        <v>20</v>
      </c>
      <c r="L5">
        <v>34</v>
      </c>
    </row>
    <row r="6" spans="1:12" x14ac:dyDescent="0.35">
      <c r="A6">
        <v>5</v>
      </c>
      <c r="B6" t="s">
        <v>10</v>
      </c>
      <c r="C6">
        <v>34.200000000000003</v>
      </c>
      <c r="D6">
        <v>-101.36</v>
      </c>
      <c r="F6">
        <v>1666</v>
      </c>
      <c r="H6">
        <v>2</v>
      </c>
      <c r="I6">
        <v>3</v>
      </c>
      <c r="J6">
        <v>17</v>
      </c>
      <c r="K6" t="s">
        <v>21</v>
      </c>
      <c r="L6">
        <v>102</v>
      </c>
    </row>
    <row r="7" spans="1:12" x14ac:dyDescent="0.35">
      <c r="A7">
        <v>6</v>
      </c>
      <c r="B7" t="s">
        <v>11</v>
      </c>
      <c r="C7">
        <v>38.549999999999997</v>
      </c>
      <c r="D7">
        <v>-99.31</v>
      </c>
      <c r="F7">
        <v>1775</v>
      </c>
      <c r="H7">
        <v>2</v>
      </c>
      <c r="I7">
        <v>4</v>
      </c>
      <c r="J7">
        <v>12</v>
      </c>
      <c r="K7" t="s">
        <v>19</v>
      </c>
      <c r="L7">
        <v>24</v>
      </c>
    </row>
    <row r="8" spans="1:12" x14ac:dyDescent="0.35">
      <c r="A8">
        <v>7</v>
      </c>
      <c r="B8" t="s">
        <v>12</v>
      </c>
      <c r="C8">
        <v>40.450000000000003</v>
      </c>
      <c r="D8">
        <v>-100.39</v>
      </c>
      <c r="F8">
        <v>1914</v>
      </c>
      <c r="H8">
        <v>2</v>
      </c>
      <c r="I8">
        <v>5</v>
      </c>
      <c r="J8">
        <v>5</v>
      </c>
      <c r="K8" t="s">
        <v>19</v>
      </c>
      <c r="L8">
        <v>27</v>
      </c>
    </row>
    <row r="9" spans="1:12" x14ac:dyDescent="0.35">
      <c r="H9">
        <v>3</v>
      </c>
      <c r="I9">
        <v>6</v>
      </c>
      <c r="J9">
        <v>11</v>
      </c>
      <c r="K9" t="s">
        <v>20</v>
      </c>
      <c r="L9">
        <v>28</v>
      </c>
    </row>
    <row r="10" spans="1:12" x14ac:dyDescent="0.35">
      <c r="H10">
        <v>3</v>
      </c>
      <c r="I10">
        <v>7</v>
      </c>
      <c r="J10">
        <v>11</v>
      </c>
      <c r="K10" t="s">
        <v>22</v>
      </c>
      <c r="L10">
        <v>70</v>
      </c>
    </row>
    <row r="11" spans="1:12" x14ac:dyDescent="0.35">
      <c r="H11">
        <v>4</v>
      </c>
      <c r="I11">
        <v>1</v>
      </c>
      <c r="J11">
        <v>23</v>
      </c>
      <c r="K11" t="s">
        <v>19</v>
      </c>
      <c r="L11">
        <v>93</v>
      </c>
    </row>
    <row r="12" spans="1:12" x14ac:dyDescent="0.35">
      <c r="H12">
        <v>4</v>
      </c>
      <c r="I12">
        <v>2</v>
      </c>
      <c r="J12">
        <v>11</v>
      </c>
      <c r="K12" t="s">
        <v>22</v>
      </c>
      <c r="L12">
        <v>93</v>
      </c>
    </row>
    <row r="13" spans="1:12" x14ac:dyDescent="0.35">
      <c r="H13">
        <v>4</v>
      </c>
      <c r="I13">
        <v>3</v>
      </c>
      <c r="J13">
        <v>6</v>
      </c>
      <c r="K13" t="s">
        <v>23</v>
      </c>
      <c r="L13">
        <v>103</v>
      </c>
    </row>
    <row r="14" spans="1:12" x14ac:dyDescent="0.35">
      <c r="H14">
        <v>4</v>
      </c>
      <c r="I14">
        <v>5</v>
      </c>
      <c r="J14">
        <v>9</v>
      </c>
      <c r="K14" t="s">
        <v>20</v>
      </c>
      <c r="L14">
        <v>80</v>
      </c>
    </row>
    <row r="15" spans="1:12" x14ac:dyDescent="0.35">
      <c r="H15">
        <v>5</v>
      </c>
      <c r="I15">
        <v>1</v>
      </c>
      <c r="J15">
        <v>12</v>
      </c>
      <c r="K15" t="s">
        <v>19</v>
      </c>
      <c r="L15">
        <v>88</v>
      </c>
    </row>
    <row r="16" spans="1:12" x14ac:dyDescent="0.35">
      <c r="H16">
        <v>5</v>
      </c>
      <c r="I16">
        <v>2</v>
      </c>
      <c r="J16">
        <v>16</v>
      </c>
      <c r="K16" t="s">
        <v>23</v>
      </c>
      <c r="L16">
        <v>97</v>
      </c>
    </row>
    <row r="17" spans="8:12" x14ac:dyDescent="0.35">
      <c r="H17">
        <v>5</v>
      </c>
      <c r="I17">
        <v>3</v>
      </c>
      <c r="J17">
        <v>15</v>
      </c>
      <c r="K17" t="s">
        <v>24</v>
      </c>
      <c r="L17">
        <v>85</v>
      </c>
    </row>
    <row r="18" spans="8:12" x14ac:dyDescent="0.35">
      <c r="H18">
        <v>5</v>
      </c>
      <c r="I18">
        <v>4</v>
      </c>
      <c r="J18">
        <v>7</v>
      </c>
      <c r="K18" t="s">
        <v>24</v>
      </c>
      <c r="L18">
        <v>34</v>
      </c>
    </row>
    <row r="19" spans="8:12" x14ac:dyDescent="0.35">
      <c r="H19">
        <v>6</v>
      </c>
      <c r="I19">
        <v>1</v>
      </c>
      <c r="J19">
        <v>10</v>
      </c>
      <c r="K19" t="s">
        <v>18</v>
      </c>
      <c r="L19">
        <v>87</v>
      </c>
    </row>
    <row r="20" spans="8:12" x14ac:dyDescent="0.35">
      <c r="H20">
        <v>6</v>
      </c>
      <c r="I20">
        <v>2</v>
      </c>
      <c r="J20">
        <v>22</v>
      </c>
      <c r="K20" t="s">
        <v>20</v>
      </c>
      <c r="L20">
        <v>84</v>
      </c>
    </row>
    <row r="21" spans="8:12" x14ac:dyDescent="0.35">
      <c r="H21">
        <v>6</v>
      </c>
      <c r="I21">
        <v>3</v>
      </c>
      <c r="J21">
        <v>10</v>
      </c>
      <c r="K21" t="s">
        <v>25</v>
      </c>
      <c r="L21">
        <v>92</v>
      </c>
    </row>
    <row r="22" spans="8:12" x14ac:dyDescent="0.35">
      <c r="H22">
        <v>6</v>
      </c>
      <c r="I22">
        <v>5</v>
      </c>
      <c r="J22">
        <v>18</v>
      </c>
      <c r="K22" t="s">
        <v>24</v>
      </c>
      <c r="L22">
        <v>33</v>
      </c>
    </row>
    <row r="23" spans="8:12" x14ac:dyDescent="0.35">
      <c r="H23">
        <v>6</v>
      </c>
      <c r="I23">
        <v>7</v>
      </c>
      <c r="J23">
        <v>11</v>
      </c>
      <c r="K23" t="s">
        <v>23</v>
      </c>
      <c r="L23">
        <v>34</v>
      </c>
    </row>
    <row r="24" spans="8:12" x14ac:dyDescent="0.35">
      <c r="H24">
        <v>7</v>
      </c>
      <c r="I24">
        <v>1</v>
      </c>
      <c r="J24">
        <v>12</v>
      </c>
      <c r="K24" t="s">
        <v>24</v>
      </c>
      <c r="L24">
        <v>87</v>
      </c>
    </row>
    <row r="25" spans="8:12" x14ac:dyDescent="0.35">
      <c r="H25">
        <v>7</v>
      </c>
      <c r="I25">
        <v>6</v>
      </c>
      <c r="J25">
        <v>24</v>
      </c>
      <c r="K25" t="s">
        <v>19</v>
      </c>
      <c r="L25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A8C4-E302-4891-B487-EFB66FA022C5}">
  <dimension ref="B4:X28"/>
  <sheetViews>
    <sheetView tabSelected="1" topLeftCell="O2" zoomScale="50" zoomScaleNormal="50" workbookViewId="0">
      <selection activeCell="J12" sqref="J12"/>
    </sheetView>
  </sheetViews>
  <sheetFormatPr defaultRowHeight="14.5" x14ac:dyDescent="0.35"/>
  <cols>
    <col min="4" max="4" width="19.7265625" bestFit="1" customWidth="1"/>
    <col min="6" max="6" width="19" bestFit="1" customWidth="1"/>
    <col min="7" max="10" width="19" customWidth="1"/>
    <col min="13" max="13" width="24" bestFit="1" customWidth="1"/>
    <col min="14" max="15" width="24" customWidth="1"/>
    <col min="16" max="16" width="10.7265625" bestFit="1" customWidth="1"/>
    <col min="17" max="17" width="10.6328125" bestFit="1" customWidth="1"/>
    <col min="18" max="18" width="22.1796875" bestFit="1" customWidth="1"/>
    <col min="19" max="19" width="20.90625" bestFit="1" customWidth="1"/>
    <col min="20" max="20" width="13.08984375" bestFit="1" customWidth="1"/>
    <col min="21" max="21" width="10.90625" bestFit="1" customWidth="1"/>
    <col min="22" max="22" width="13.7265625" bestFit="1" customWidth="1"/>
    <col min="23" max="23" width="14.54296875" bestFit="1" customWidth="1"/>
    <col min="24" max="24" width="19.7265625" bestFit="1" customWidth="1"/>
  </cols>
  <sheetData>
    <row r="4" spans="2:24" x14ac:dyDescent="0.35">
      <c r="B4" s="2" t="s">
        <v>35</v>
      </c>
      <c r="C4" s="2" t="s">
        <v>26</v>
      </c>
      <c r="D4" s="2"/>
      <c r="E4" s="2"/>
      <c r="F4" s="2" t="s">
        <v>27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36</v>
      </c>
      <c r="L4" s="2" t="s">
        <v>28</v>
      </c>
      <c r="M4" s="2" t="s">
        <v>29</v>
      </c>
      <c r="N4" s="2" t="s">
        <v>45</v>
      </c>
      <c r="O4" s="2" t="s">
        <v>47</v>
      </c>
      <c r="P4" s="2" t="s">
        <v>30</v>
      </c>
      <c r="Q4" s="2" t="s">
        <v>46</v>
      </c>
      <c r="S4" s="2" t="s">
        <v>31</v>
      </c>
      <c r="T4" s="2" t="s">
        <v>32</v>
      </c>
      <c r="U4" s="2" t="s">
        <v>33</v>
      </c>
      <c r="V4" s="2" t="s">
        <v>34</v>
      </c>
      <c r="W4" s="2" t="s">
        <v>37</v>
      </c>
    </row>
    <row r="5" spans="2:24" x14ac:dyDescent="0.35">
      <c r="B5" s="1">
        <v>1711</v>
      </c>
      <c r="C5">
        <v>1</v>
      </c>
      <c r="D5" t="s">
        <v>6</v>
      </c>
      <c r="E5">
        <v>2</v>
      </c>
      <c r="F5" t="s">
        <v>7</v>
      </c>
      <c r="G5">
        <f>_xlfn.XLOOKUP(C5,Data!$A$2:$A$8,Data!$C$2:$C$8)</f>
        <v>37.5</v>
      </c>
      <c r="H5">
        <f>_xlfn.XLOOKUP(C5,Data!$A$2:$A$8,Data!$D$2:$D$8)</f>
        <v>-102.5</v>
      </c>
      <c r="I5">
        <f>_xlfn.XLOOKUP(E5,Data!$A$2:$A$8,Data!$C$2:$C$8)</f>
        <v>31.68</v>
      </c>
      <c r="J5">
        <f>_xlfn.XLOOKUP(E5,Data!$A$2:$A$8,Data!$D$2:$D$8)</f>
        <v>-118.85</v>
      </c>
      <c r="K5" s="4">
        <v>11</v>
      </c>
      <c r="L5" s="6">
        <f>SQRT((I5-G5)^2+(J5-H5)^2)</f>
        <v>17.354967588560914</v>
      </c>
      <c r="M5" t="s">
        <v>18</v>
      </c>
      <c r="N5">
        <v>0</v>
      </c>
      <c r="O5">
        <f>INT(NOT(N5))</f>
        <v>1</v>
      </c>
      <c r="P5" s="8">
        <v>95</v>
      </c>
      <c r="Q5" s="8">
        <v>1</v>
      </c>
      <c r="R5">
        <v>1</v>
      </c>
      <c r="S5" t="s">
        <v>6</v>
      </c>
      <c r="T5">
        <f>SUMIF($E$5:$E$28,R5,$B$5:$B$28)</f>
        <v>0</v>
      </c>
      <c r="U5">
        <f>SUMIF($C$5:$C$28,R5,$B$5:$B$28)</f>
        <v>10046.999999999998</v>
      </c>
      <c r="V5">
        <f>T5-U5</f>
        <v>-10046.999999999998</v>
      </c>
      <c r="W5">
        <v>-10047</v>
      </c>
    </row>
    <row r="6" spans="2:24" x14ac:dyDescent="0.35">
      <c r="B6" s="1">
        <v>4646.9999999999991</v>
      </c>
      <c r="C6">
        <v>1</v>
      </c>
      <c r="D6" t="s">
        <v>6</v>
      </c>
      <c r="E6">
        <v>5</v>
      </c>
      <c r="F6" t="s">
        <v>10</v>
      </c>
      <c r="G6">
        <f>_xlfn.XLOOKUP(C6,Data!$A$2:$A$8,Data!$C$2:$C$8)</f>
        <v>37.5</v>
      </c>
      <c r="H6">
        <f>_xlfn.XLOOKUP(C6,Data!$A$2:$A$8,Data!$D$2:$D$8)</f>
        <v>-102.5</v>
      </c>
      <c r="I6">
        <f>_xlfn.XLOOKUP(E6,Data!$A$2:$A$8,Data!$C$2:$C$8)</f>
        <v>34.200000000000003</v>
      </c>
      <c r="J6">
        <f>_xlfn.XLOOKUP(E6,Data!$A$2:$A$8,Data!$D$2:$D$8)</f>
        <v>-101.36</v>
      </c>
      <c r="K6" s="4">
        <v>7</v>
      </c>
      <c r="L6" s="6">
        <f t="shared" ref="L6:L28" si="0">SQRT((I6-G6)^2+(J6-H6)^2)</f>
        <v>3.4913607662342749</v>
      </c>
      <c r="M6" t="s">
        <v>19</v>
      </c>
      <c r="N6">
        <v>0</v>
      </c>
      <c r="O6">
        <f t="shared" ref="O6:O28" si="1">INT(NOT(N6))</f>
        <v>1</v>
      </c>
      <c r="P6">
        <v>20</v>
      </c>
      <c r="Q6">
        <v>0</v>
      </c>
      <c r="R6">
        <v>2</v>
      </c>
      <c r="S6" t="s">
        <v>7</v>
      </c>
      <c r="T6">
        <f t="shared" ref="T6:T11" si="2">SUMIF($E$5:$E$28,R6,$B$5:$B$28)</f>
        <v>1711</v>
      </c>
      <c r="U6">
        <f>SUMIF($C$5:$C$28,R6,$B$5:$B$28)</f>
        <v>0</v>
      </c>
      <c r="V6">
        <f t="shared" ref="V6:V11" si="3">T6-U6</f>
        <v>1711</v>
      </c>
      <c r="W6">
        <v>1711</v>
      </c>
    </row>
    <row r="7" spans="2:24" x14ac:dyDescent="0.35">
      <c r="B7" s="1">
        <v>701.36502038767071</v>
      </c>
      <c r="C7">
        <v>1</v>
      </c>
      <c r="D7" t="s">
        <v>6</v>
      </c>
      <c r="E7">
        <v>6</v>
      </c>
      <c r="F7" t="s">
        <v>11</v>
      </c>
      <c r="G7">
        <f>_xlfn.XLOOKUP(C7,Data!$A$2:$A$8,Data!$C$2:$C$8)</f>
        <v>37.5</v>
      </c>
      <c r="H7">
        <f>_xlfn.XLOOKUP(C7,Data!$A$2:$A$8,Data!$D$2:$D$8)</f>
        <v>-102.5</v>
      </c>
      <c r="I7">
        <f>_xlfn.XLOOKUP(E7,Data!$A$2:$A$8,Data!$C$2:$C$8)</f>
        <v>38.549999999999997</v>
      </c>
      <c r="J7">
        <f>_xlfn.XLOOKUP(E7,Data!$A$2:$A$8,Data!$D$2:$D$8)</f>
        <v>-99.31</v>
      </c>
      <c r="K7" s="4">
        <v>18</v>
      </c>
      <c r="L7" s="6">
        <f t="shared" si="0"/>
        <v>3.3583626963149737</v>
      </c>
      <c r="M7" t="s">
        <v>20</v>
      </c>
      <c r="N7">
        <v>0</v>
      </c>
      <c r="O7">
        <f t="shared" si="1"/>
        <v>1</v>
      </c>
      <c r="P7" s="10">
        <v>73</v>
      </c>
      <c r="Q7" s="10">
        <v>1</v>
      </c>
      <c r="R7">
        <v>3</v>
      </c>
      <c r="S7" t="s">
        <v>8</v>
      </c>
      <c r="T7">
        <f t="shared" si="2"/>
        <v>1683.9999999999991</v>
      </c>
      <c r="U7">
        <f>SUMIF($C$5:$C$28,R7,$B$5:$B$28)</f>
        <v>0</v>
      </c>
      <c r="V7">
        <f t="shared" si="3"/>
        <v>1683.9999999999991</v>
      </c>
      <c r="W7">
        <v>1684</v>
      </c>
    </row>
    <row r="8" spans="2:24" x14ac:dyDescent="0.35">
      <c r="B8" s="1">
        <v>2987.6349796123291</v>
      </c>
      <c r="C8">
        <v>1</v>
      </c>
      <c r="D8" t="s">
        <v>6</v>
      </c>
      <c r="E8">
        <v>7</v>
      </c>
      <c r="F8" t="s">
        <v>12</v>
      </c>
      <c r="G8">
        <f>_xlfn.XLOOKUP(C8,Data!$A$2:$A$8,Data!$C$2:$C$8)</f>
        <v>37.5</v>
      </c>
      <c r="H8">
        <f>_xlfn.XLOOKUP(C8,Data!$A$2:$A$8,Data!$D$2:$D$8)</f>
        <v>-102.5</v>
      </c>
      <c r="I8">
        <f>_xlfn.XLOOKUP(E8,Data!$A$2:$A$8,Data!$C$2:$C$8)</f>
        <v>40.450000000000003</v>
      </c>
      <c r="J8">
        <f>_xlfn.XLOOKUP(E8,Data!$A$2:$A$8,Data!$D$2:$D$8)</f>
        <v>-100.39</v>
      </c>
      <c r="K8" s="4">
        <v>18</v>
      </c>
      <c r="L8" s="6">
        <f t="shared" si="0"/>
        <v>3.6269270739842585</v>
      </c>
      <c r="M8" t="s">
        <v>20</v>
      </c>
      <c r="N8">
        <v>0</v>
      </c>
      <c r="O8">
        <f t="shared" si="1"/>
        <v>1</v>
      </c>
      <c r="P8">
        <v>34</v>
      </c>
      <c r="Q8">
        <v>0</v>
      </c>
      <c r="R8">
        <v>4</v>
      </c>
      <c r="S8" t="s">
        <v>9</v>
      </c>
      <c r="T8">
        <f t="shared" si="2"/>
        <v>2714.5345889269174</v>
      </c>
      <c r="U8">
        <f>SUMIF($C$5:$C$28,R8,$B$5:$B$28)</f>
        <v>1417.5345889269174</v>
      </c>
      <c r="V8">
        <f t="shared" si="3"/>
        <v>1297</v>
      </c>
      <c r="W8">
        <v>1297</v>
      </c>
    </row>
    <row r="9" spans="2:24" x14ac:dyDescent="0.35">
      <c r="B9" s="1">
        <v>0</v>
      </c>
      <c r="C9">
        <v>2</v>
      </c>
      <c r="D9" t="s">
        <v>7</v>
      </c>
      <c r="E9">
        <v>3</v>
      </c>
      <c r="F9" t="s">
        <v>8</v>
      </c>
      <c r="G9">
        <f>_xlfn.XLOOKUP(C9,Data!$A$2:$A$8,Data!$C$2:$C$8)</f>
        <v>31.68</v>
      </c>
      <c r="H9">
        <f>_xlfn.XLOOKUP(C9,Data!$A$2:$A$8,Data!$D$2:$D$8)</f>
        <v>-118.85</v>
      </c>
      <c r="I9">
        <f>_xlfn.XLOOKUP(E9,Data!$A$2:$A$8,Data!$C$2:$C$8)</f>
        <v>44.19</v>
      </c>
      <c r="J9">
        <f>_xlfn.XLOOKUP(E9,Data!$A$2:$A$8,Data!$D$2:$D$8)</f>
        <v>-101.34</v>
      </c>
      <c r="K9" s="4">
        <v>17</v>
      </c>
      <c r="L9" s="6">
        <f t="shared" si="0"/>
        <v>21.519763009847473</v>
      </c>
      <c r="M9" s="9" t="s">
        <v>21</v>
      </c>
      <c r="N9" s="9">
        <v>1</v>
      </c>
      <c r="O9">
        <f t="shared" si="1"/>
        <v>0</v>
      </c>
      <c r="P9" s="8">
        <v>102</v>
      </c>
      <c r="Q9" s="8">
        <v>1</v>
      </c>
      <c r="R9">
        <v>5</v>
      </c>
      <c r="S9" t="s">
        <v>10</v>
      </c>
      <c r="T9">
        <f t="shared" si="2"/>
        <v>4646.9999999999991</v>
      </c>
      <c r="U9">
        <f>SUMIF($C$5:$C$28,R9,$B$5:$B$28)</f>
        <v>2980.9999999999991</v>
      </c>
      <c r="V9">
        <f t="shared" si="3"/>
        <v>1666</v>
      </c>
      <c r="W9">
        <v>1666</v>
      </c>
    </row>
    <row r="10" spans="2:24" x14ac:dyDescent="0.35">
      <c r="B10" s="1">
        <v>0</v>
      </c>
      <c r="C10">
        <v>2</v>
      </c>
      <c r="D10" t="s">
        <v>7</v>
      </c>
      <c r="E10">
        <v>4</v>
      </c>
      <c r="F10" t="s">
        <v>9</v>
      </c>
      <c r="G10">
        <f>_xlfn.XLOOKUP(C10,Data!$A$2:$A$8,Data!$C$2:$C$8)</f>
        <v>31.68</v>
      </c>
      <c r="H10">
        <f>_xlfn.XLOOKUP(C10,Data!$A$2:$A$8,Data!$D$2:$D$8)</f>
        <v>-118.85</v>
      </c>
      <c r="I10">
        <f>_xlfn.XLOOKUP(E10,Data!$A$2:$A$8,Data!$C$2:$C$8)</f>
        <v>38.86</v>
      </c>
      <c r="J10">
        <f>_xlfn.XLOOKUP(E10,Data!$A$2:$A$8,Data!$D$2:$D$8)</f>
        <v>-114.75</v>
      </c>
      <c r="K10" s="4">
        <v>12</v>
      </c>
      <c r="L10" s="6">
        <f t="shared" si="0"/>
        <v>8.2681557798580414</v>
      </c>
      <c r="M10" t="s">
        <v>19</v>
      </c>
      <c r="N10">
        <v>0</v>
      </c>
      <c r="O10">
        <f t="shared" si="1"/>
        <v>1</v>
      </c>
      <c r="P10">
        <v>24</v>
      </c>
      <c r="Q10">
        <v>0</v>
      </c>
      <c r="R10">
        <v>6</v>
      </c>
      <c r="S10" t="s">
        <v>11</v>
      </c>
      <c r="T10">
        <f t="shared" si="2"/>
        <v>1775</v>
      </c>
      <c r="U10">
        <f>SUMIF($C$5:$C$28,R10,$B$5:$B$28)</f>
        <v>0</v>
      </c>
      <c r="V10">
        <f t="shared" si="3"/>
        <v>1775</v>
      </c>
      <c r="W10">
        <v>1775</v>
      </c>
    </row>
    <row r="11" spans="2:24" x14ac:dyDescent="0.35">
      <c r="B11" s="1">
        <v>0</v>
      </c>
      <c r="C11">
        <v>2</v>
      </c>
      <c r="D11" t="s">
        <v>7</v>
      </c>
      <c r="E11">
        <v>5</v>
      </c>
      <c r="F11" t="s">
        <v>10</v>
      </c>
      <c r="G11">
        <f>_xlfn.XLOOKUP(C11,Data!$A$2:$A$8,Data!$C$2:$C$8)</f>
        <v>31.68</v>
      </c>
      <c r="H11">
        <f>_xlfn.XLOOKUP(C11,Data!$A$2:$A$8,Data!$D$2:$D$8)</f>
        <v>-118.85</v>
      </c>
      <c r="I11">
        <f>_xlfn.XLOOKUP(E11,Data!$A$2:$A$8,Data!$C$2:$C$8)</f>
        <v>34.200000000000003</v>
      </c>
      <c r="J11">
        <f>_xlfn.XLOOKUP(E11,Data!$A$2:$A$8,Data!$D$2:$D$8)</f>
        <v>-101.36</v>
      </c>
      <c r="K11" s="4">
        <v>5</v>
      </c>
      <c r="L11" s="6">
        <f t="shared" si="0"/>
        <v>17.670611194862499</v>
      </c>
      <c r="M11" t="s">
        <v>19</v>
      </c>
      <c r="N11">
        <v>0</v>
      </c>
      <c r="O11">
        <f t="shared" si="1"/>
        <v>1</v>
      </c>
      <c r="P11">
        <v>27</v>
      </c>
      <c r="Q11">
        <v>0</v>
      </c>
      <c r="R11">
        <v>7</v>
      </c>
      <c r="S11" t="s">
        <v>12</v>
      </c>
      <c r="T11">
        <f t="shared" si="2"/>
        <v>2987.6349796123291</v>
      </c>
      <c r="U11">
        <f>SUMIF($C$5:$C$28,R11,$B$5:$B$28)</f>
        <v>1073.6349796123293</v>
      </c>
      <c r="V11">
        <f t="shared" si="3"/>
        <v>1913.9999999999998</v>
      </c>
      <c r="W11">
        <v>1914</v>
      </c>
    </row>
    <row r="12" spans="2:24" x14ac:dyDescent="0.35">
      <c r="B12" s="1">
        <v>0</v>
      </c>
      <c r="C12">
        <v>3</v>
      </c>
      <c r="D12" t="s">
        <v>8</v>
      </c>
      <c r="E12">
        <v>6</v>
      </c>
      <c r="F12" t="s">
        <v>11</v>
      </c>
      <c r="G12">
        <f>_xlfn.XLOOKUP(C12,Data!$A$2:$A$8,Data!$C$2:$C$8)</f>
        <v>44.19</v>
      </c>
      <c r="H12">
        <f>_xlfn.XLOOKUP(C12,Data!$A$2:$A$8,Data!$D$2:$D$8)</f>
        <v>-101.34</v>
      </c>
      <c r="I12">
        <f>_xlfn.XLOOKUP(E12,Data!$A$2:$A$8,Data!$C$2:$C$8)</f>
        <v>38.549999999999997</v>
      </c>
      <c r="J12">
        <f>_xlfn.XLOOKUP(E12,Data!$A$2:$A$8,Data!$D$2:$D$8)</f>
        <v>-99.31</v>
      </c>
      <c r="K12" s="4">
        <v>11</v>
      </c>
      <c r="L12" s="6">
        <f t="shared" si="0"/>
        <v>5.9942055353482839</v>
      </c>
      <c r="M12" t="s">
        <v>20</v>
      </c>
      <c r="N12">
        <v>0</v>
      </c>
      <c r="O12">
        <f t="shared" si="1"/>
        <v>1</v>
      </c>
      <c r="P12">
        <v>28</v>
      </c>
      <c r="Q12">
        <v>0</v>
      </c>
    </row>
    <row r="13" spans="2:24" x14ac:dyDescent="0.35">
      <c r="B13" s="1">
        <v>0</v>
      </c>
      <c r="C13">
        <v>3</v>
      </c>
      <c r="D13" t="s">
        <v>8</v>
      </c>
      <c r="E13">
        <v>7</v>
      </c>
      <c r="F13" t="s">
        <v>12</v>
      </c>
      <c r="G13">
        <f>_xlfn.XLOOKUP(C13,Data!$A$2:$A$8,Data!$C$2:$C$8)</f>
        <v>44.19</v>
      </c>
      <c r="H13">
        <f>_xlfn.XLOOKUP(C13,Data!$A$2:$A$8,Data!$D$2:$D$8)</f>
        <v>-101.34</v>
      </c>
      <c r="I13">
        <f>_xlfn.XLOOKUP(E13,Data!$A$2:$A$8,Data!$C$2:$C$8)</f>
        <v>40.450000000000003</v>
      </c>
      <c r="J13">
        <f>_xlfn.XLOOKUP(E13,Data!$A$2:$A$8,Data!$D$2:$D$8)</f>
        <v>-100.39</v>
      </c>
      <c r="K13" s="4">
        <v>11</v>
      </c>
      <c r="L13" s="6">
        <f t="shared" si="0"/>
        <v>3.8587692338360902</v>
      </c>
      <c r="M13" s="9" t="s">
        <v>22</v>
      </c>
      <c r="N13" s="9">
        <v>1</v>
      </c>
      <c r="O13">
        <f t="shared" si="1"/>
        <v>0</v>
      </c>
      <c r="P13" s="8">
        <v>70</v>
      </c>
      <c r="Q13" s="8">
        <v>1</v>
      </c>
      <c r="U13" s="12" t="s">
        <v>48</v>
      </c>
      <c r="V13" s="13" t="s">
        <v>49</v>
      </c>
      <c r="X13" s="13" t="s">
        <v>50</v>
      </c>
    </row>
    <row r="14" spans="2:24" ht="14.5" customHeight="1" x14ac:dyDescent="0.35">
      <c r="B14" s="1">
        <v>0</v>
      </c>
      <c r="C14">
        <v>4</v>
      </c>
      <c r="D14" t="s">
        <v>9</v>
      </c>
      <c r="E14">
        <v>1</v>
      </c>
      <c r="F14" t="s">
        <v>6</v>
      </c>
      <c r="G14">
        <f>_xlfn.XLOOKUP(C14,Data!$A$2:$A$8,Data!$C$2:$C$8)</f>
        <v>38.86</v>
      </c>
      <c r="H14">
        <f>_xlfn.XLOOKUP(C14,Data!$A$2:$A$8,Data!$D$2:$D$8)</f>
        <v>-114.75</v>
      </c>
      <c r="I14">
        <f>_xlfn.XLOOKUP(E14,Data!$A$2:$A$8,Data!$C$2:$C$8)</f>
        <v>37.5</v>
      </c>
      <c r="J14">
        <f>_xlfn.XLOOKUP(E14,Data!$A$2:$A$8,Data!$D$2:$D$8)</f>
        <v>-102.5</v>
      </c>
      <c r="K14" s="4">
        <v>23</v>
      </c>
      <c r="L14" s="6">
        <f t="shared" si="0"/>
        <v>12.32526267468568</v>
      </c>
      <c r="M14" t="s">
        <v>19</v>
      </c>
      <c r="N14">
        <v>0</v>
      </c>
      <c r="O14">
        <f t="shared" si="1"/>
        <v>1</v>
      </c>
      <c r="P14" s="8">
        <v>93</v>
      </c>
      <c r="Q14" s="8">
        <v>1</v>
      </c>
      <c r="S14" s="2" t="s">
        <v>52</v>
      </c>
      <c r="T14" s="2" t="s">
        <v>53</v>
      </c>
      <c r="U14" s="12"/>
      <c r="V14" s="13"/>
      <c r="W14" s="14" t="s">
        <v>51</v>
      </c>
      <c r="X14" s="13"/>
    </row>
    <row r="15" spans="2:24" x14ac:dyDescent="0.35">
      <c r="B15" s="1">
        <v>0</v>
      </c>
      <c r="C15">
        <v>4</v>
      </c>
      <c r="D15" t="s">
        <v>9</v>
      </c>
      <c r="E15">
        <v>2</v>
      </c>
      <c r="F15" t="s">
        <v>7</v>
      </c>
      <c r="G15">
        <f>_xlfn.XLOOKUP(C15,Data!$A$2:$A$8,Data!$C$2:$C$8)</f>
        <v>38.86</v>
      </c>
      <c r="H15">
        <f>_xlfn.XLOOKUP(C15,Data!$A$2:$A$8,Data!$D$2:$D$8)</f>
        <v>-114.75</v>
      </c>
      <c r="I15">
        <f>_xlfn.XLOOKUP(E15,Data!$A$2:$A$8,Data!$C$2:$C$8)</f>
        <v>31.68</v>
      </c>
      <c r="J15">
        <f>_xlfn.XLOOKUP(E15,Data!$A$2:$A$8,Data!$D$2:$D$8)</f>
        <v>-118.85</v>
      </c>
      <c r="K15" s="4">
        <v>11</v>
      </c>
      <c r="L15" s="6">
        <f t="shared" si="0"/>
        <v>8.2681557798580414</v>
      </c>
      <c r="M15" t="s">
        <v>22</v>
      </c>
      <c r="N15">
        <v>0</v>
      </c>
      <c r="O15">
        <f t="shared" si="1"/>
        <v>1</v>
      </c>
      <c r="P15" s="8">
        <v>93</v>
      </c>
      <c r="Q15" s="8">
        <v>1</v>
      </c>
      <c r="R15" t="s">
        <v>42</v>
      </c>
      <c r="S15" s="3">
        <f>SUMPRODUCT(B5:B28,K5:K28)</f>
        <v>175023.17033284204</v>
      </c>
      <c r="T15" s="3">
        <v>123851</v>
      </c>
      <c r="U15" s="5">
        <f>S15-T15</f>
        <v>51172.170332842041</v>
      </c>
      <c r="V15" s="15">
        <f t="shared" ref="V15:V17" si="4">U15/T15</f>
        <v>0.4131752697422067</v>
      </c>
      <c r="W15" s="16">
        <v>1</v>
      </c>
      <c r="X15" s="17">
        <f t="shared" ref="X15:X17" si="5">W15*V15</f>
        <v>0.4131752697422067</v>
      </c>
    </row>
    <row r="16" spans="2:24" x14ac:dyDescent="0.35">
      <c r="B16" s="1">
        <v>1417.5345889269174</v>
      </c>
      <c r="C16">
        <v>4</v>
      </c>
      <c r="D16" t="s">
        <v>9</v>
      </c>
      <c r="E16">
        <v>3</v>
      </c>
      <c r="F16" t="s">
        <v>8</v>
      </c>
      <c r="G16">
        <f>_xlfn.XLOOKUP(C16,Data!$A$2:$A$8,Data!$C$2:$C$8)</f>
        <v>38.86</v>
      </c>
      <c r="H16">
        <f>_xlfn.XLOOKUP(C16,Data!$A$2:$A$8,Data!$D$2:$D$8)</f>
        <v>-114.75</v>
      </c>
      <c r="I16">
        <f>_xlfn.XLOOKUP(E16,Data!$A$2:$A$8,Data!$C$2:$C$8)</f>
        <v>44.19</v>
      </c>
      <c r="J16">
        <f>_xlfn.XLOOKUP(E16,Data!$A$2:$A$8,Data!$D$2:$D$8)</f>
        <v>-101.34</v>
      </c>
      <c r="K16" s="4">
        <v>6</v>
      </c>
      <c r="L16" s="6">
        <f t="shared" si="0"/>
        <v>14.430419259328534</v>
      </c>
      <c r="M16" t="s">
        <v>23</v>
      </c>
      <c r="N16">
        <v>0</v>
      </c>
      <c r="O16">
        <f t="shared" si="1"/>
        <v>1</v>
      </c>
      <c r="P16" s="8">
        <v>103</v>
      </c>
      <c r="Q16" s="8">
        <v>1</v>
      </c>
      <c r="R16" t="s">
        <v>43</v>
      </c>
      <c r="S16" s="7">
        <f>SUMPRODUCT(B5:B28,L5:L28)</f>
        <v>123060.02237652091</v>
      </c>
      <c r="T16" s="7">
        <v>87080.509411248102</v>
      </c>
      <c r="U16" s="5">
        <f t="shared" ref="U15:U17" si="6">S16-T16</f>
        <v>35979.512965272806</v>
      </c>
      <c r="V16" s="15">
        <f t="shared" si="4"/>
        <v>0.41317526974211027</v>
      </c>
      <c r="W16" s="16">
        <v>1</v>
      </c>
      <c r="X16" s="17">
        <f t="shared" si="5"/>
        <v>0.41317526974211027</v>
      </c>
    </row>
    <row r="17" spans="2:24" x14ac:dyDescent="0.35">
      <c r="B17" s="1">
        <v>0</v>
      </c>
      <c r="C17">
        <v>4</v>
      </c>
      <c r="D17" t="s">
        <v>9</v>
      </c>
      <c r="E17">
        <v>5</v>
      </c>
      <c r="F17" t="s">
        <v>10</v>
      </c>
      <c r="G17">
        <f>_xlfn.XLOOKUP(C17,Data!$A$2:$A$8,Data!$C$2:$C$8)</f>
        <v>38.86</v>
      </c>
      <c r="H17">
        <f>_xlfn.XLOOKUP(C17,Data!$A$2:$A$8,Data!$D$2:$D$8)</f>
        <v>-114.75</v>
      </c>
      <c r="I17">
        <f>_xlfn.XLOOKUP(E17,Data!$A$2:$A$8,Data!$C$2:$C$8)</f>
        <v>34.200000000000003</v>
      </c>
      <c r="J17">
        <f>_xlfn.XLOOKUP(E17,Data!$A$2:$A$8,Data!$D$2:$D$8)</f>
        <v>-101.36</v>
      </c>
      <c r="K17" s="4">
        <v>9</v>
      </c>
      <c r="L17" s="6">
        <f t="shared" si="0"/>
        <v>14.177718434219237</v>
      </c>
      <c r="M17" t="s">
        <v>20</v>
      </c>
      <c r="N17">
        <v>0</v>
      </c>
      <c r="O17">
        <f t="shared" si="1"/>
        <v>1</v>
      </c>
      <c r="P17" s="8">
        <v>80</v>
      </c>
      <c r="Q17" s="8">
        <v>1</v>
      </c>
      <c r="R17" t="s">
        <v>55</v>
      </c>
      <c r="S17">
        <f>SUMPRODUCT(B5:B28,O5:O28)</f>
        <v>15519.169568539242</v>
      </c>
      <c r="T17">
        <v>11344</v>
      </c>
      <c r="U17" s="5">
        <f t="shared" si="6"/>
        <v>4175.1695685392424</v>
      </c>
      <c r="V17" s="15">
        <f t="shared" si="4"/>
        <v>0.36805091401086409</v>
      </c>
      <c r="W17" s="16">
        <v>1</v>
      </c>
      <c r="X17" s="17">
        <f t="shared" si="5"/>
        <v>0.36805091401086409</v>
      </c>
    </row>
    <row r="18" spans="2:24" x14ac:dyDescent="0.35">
      <c r="B18" s="1">
        <v>0</v>
      </c>
      <c r="C18">
        <v>5</v>
      </c>
      <c r="D18" t="s">
        <v>10</v>
      </c>
      <c r="E18">
        <v>1</v>
      </c>
      <c r="F18" t="s">
        <v>6</v>
      </c>
      <c r="G18">
        <f>_xlfn.XLOOKUP(C18,Data!$A$2:$A$8,Data!$C$2:$C$8)</f>
        <v>34.200000000000003</v>
      </c>
      <c r="H18">
        <f>_xlfn.XLOOKUP(C18,Data!$A$2:$A$8,Data!$D$2:$D$8)</f>
        <v>-101.36</v>
      </c>
      <c r="I18">
        <f>_xlfn.XLOOKUP(E18,Data!$A$2:$A$8,Data!$C$2:$C$8)</f>
        <v>37.5</v>
      </c>
      <c r="J18">
        <f>_xlfn.XLOOKUP(E18,Data!$A$2:$A$8,Data!$D$2:$D$8)</f>
        <v>-102.5</v>
      </c>
      <c r="K18" s="4">
        <v>12</v>
      </c>
      <c r="L18" s="6">
        <f t="shared" si="0"/>
        <v>3.4913607662342749</v>
      </c>
      <c r="M18" t="s">
        <v>19</v>
      </c>
      <c r="N18">
        <v>0</v>
      </c>
      <c r="O18">
        <f t="shared" si="1"/>
        <v>1</v>
      </c>
      <c r="P18" s="8">
        <v>88</v>
      </c>
      <c r="Q18" s="8">
        <v>1</v>
      </c>
      <c r="R18" t="s">
        <v>44</v>
      </c>
      <c r="S18">
        <f>SUMPRODUCT(B5:B28,Q5:Q28)</f>
        <v>4096.3650203876696</v>
      </c>
      <c r="T18">
        <v>3395</v>
      </c>
      <c r="U18" s="5">
        <f>S18-T18</f>
        <v>701.36502038766957</v>
      </c>
      <c r="V18" s="15">
        <f t="shared" ref="V18" si="7">U18/T18</f>
        <v>0.20658763487118398</v>
      </c>
      <c r="W18" s="16">
        <v>2</v>
      </c>
      <c r="X18" s="17">
        <f t="shared" ref="X18" si="8">W18*V18</f>
        <v>0.41317526974236796</v>
      </c>
    </row>
    <row r="19" spans="2:24" x14ac:dyDescent="0.35">
      <c r="B19" s="1">
        <v>0</v>
      </c>
      <c r="C19">
        <v>5</v>
      </c>
      <c r="D19" t="s">
        <v>10</v>
      </c>
      <c r="E19">
        <v>2</v>
      </c>
      <c r="F19" t="s">
        <v>7</v>
      </c>
      <c r="G19">
        <f>_xlfn.XLOOKUP(C19,Data!$A$2:$A$8,Data!$C$2:$C$8)</f>
        <v>34.200000000000003</v>
      </c>
      <c r="H19">
        <f>_xlfn.XLOOKUP(C19,Data!$A$2:$A$8,Data!$D$2:$D$8)</f>
        <v>-101.36</v>
      </c>
      <c r="I19">
        <f>_xlfn.XLOOKUP(E19,Data!$A$2:$A$8,Data!$C$2:$C$8)</f>
        <v>31.68</v>
      </c>
      <c r="J19">
        <f>_xlfn.XLOOKUP(E19,Data!$A$2:$A$8,Data!$D$2:$D$8)</f>
        <v>-118.85</v>
      </c>
      <c r="K19" s="4">
        <v>16</v>
      </c>
      <c r="L19" s="6">
        <f t="shared" si="0"/>
        <v>17.670611194862499</v>
      </c>
      <c r="M19" t="s">
        <v>23</v>
      </c>
      <c r="N19">
        <v>0</v>
      </c>
      <c r="O19">
        <f t="shared" si="1"/>
        <v>1</v>
      </c>
      <c r="P19" s="8">
        <v>97</v>
      </c>
      <c r="Q19" s="8">
        <v>1</v>
      </c>
    </row>
    <row r="20" spans="2:24" x14ac:dyDescent="0.35">
      <c r="B20" s="1">
        <v>266.46541107308167</v>
      </c>
      <c r="C20">
        <v>5</v>
      </c>
      <c r="D20" t="s">
        <v>10</v>
      </c>
      <c r="E20">
        <v>3</v>
      </c>
      <c r="F20" t="s">
        <v>8</v>
      </c>
      <c r="G20">
        <f>_xlfn.XLOOKUP(C20,Data!$A$2:$A$8,Data!$C$2:$C$8)</f>
        <v>34.200000000000003</v>
      </c>
      <c r="H20">
        <f>_xlfn.XLOOKUP(C20,Data!$A$2:$A$8,Data!$D$2:$D$8)</f>
        <v>-101.36</v>
      </c>
      <c r="I20">
        <f>_xlfn.XLOOKUP(E20,Data!$A$2:$A$8,Data!$C$2:$C$8)</f>
        <v>44.19</v>
      </c>
      <c r="J20">
        <f>_xlfn.XLOOKUP(E20,Data!$A$2:$A$8,Data!$D$2:$D$8)</f>
        <v>-101.34</v>
      </c>
      <c r="K20" s="4">
        <v>15</v>
      </c>
      <c r="L20" s="6">
        <f t="shared" si="0"/>
        <v>9.9900200199999549</v>
      </c>
      <c r="M20" t="s">
        <v>24</v>
      </c>
      <c r="N20">
        <v>0</v>
      </c>
      <c r="O20">
        <f t="shared" si="1"/>
        <v>1</v>
      </c>
      <c r="P20" s="8">
        <v>85</v>
      </c>
      <c r="Q20" s="8">
        <v>1</v>
      </c>
    </row>
    <row r="21" spans="2:24" x14ac:dyDescent="0.35">
      <c r="B21" s="1">
        <v>2714.5345889269174</v>
      </c>
      <c r="C21">
        <v>5</v>
      </c>
      <c r="D21" t="s">
        <v>10</v>
      </c>
      <c r="E21">
        <v>4</v>
      </c>
      <c r="F21" t="s">
        <v>9</v>
      </c>
      <c r="G21">
        <f>_xlfn.XLOOKUP(C21,Data!$A$2:$A$8,Data!$C$2:$C$8)</f>
        <v>34.200000000000003</v>
      </c>
      <c r="H21">
        <f>_xlfn.XLOOKUP(C21,Data!$A$2:$A$8,Data!$D$2:$D$8)</f>
        <v>-101.36</v>
      </c>
      <c r="I21">
        <f>_xlfn.XLOOKUP(E21,Data!$A$2:$A$8,Data!$C$2:$C$8)</f>
        <v>38.86</v>
      </c>
      <c r="J21">
        <f>_xlfn.XLOOKUP(E21,Data!$A$2:$A$8,Data!$D$2:$D$8)</f>
        <v>-114.75</v>
      </c>
      <c r="K21" s="4">
        <v>7</v>
      </c>
      <c r="L21" s="6">
        <f t="shared" si="0"/>
        <v>14.177718434219237</v>
      </c>
      <c r="M21" t="s">
        <v>24</v>
      </c>
      <c r="N21">
        <v>0</v>
      </c>
      <c r="O21">
        <f t="shared" si="1"/>
        <v>1</v>
      </c>
      <c r="P21">
        <v>34</v>
      </c>
      <c r="Q21" s="8">
        <v>0</v>
      </c>
      <c r="S21" t="s">
        <v>54</v>
      </c>
      <c r="T21" s="18">
        <v>0.41317526974235924</v>
      </c>
    </row>
    <row r="22" spans="2:24" x14ac:dyDescent="0.35">
      <c r="B22" s="1">
        <v>0</v>
      </c>
      <c r="C22">
        <v>6</v>
      </c>
      <c r="D22" t="s">
        <v>11</v>
      </c>
      <c r="E22">
        <v>1</v>
      </c>
      <c r="F22" t="s">
        <v>6</v>
      </c>
      <c r="G22">
        <f>_xlfn.XLOOKUP(C22,Data!$A$2:$A$8,Data!$C$2:$C$8)</f>
        <v>38.549999999999997</v>
      </c>
      <c r="H22">
        <f>_xlfn.XLOOKUP(C22,Data!$A$2:$A$8,Data!$D$2:$D$8)</f>
        <v>-99.31</v>
      </c>
      <c r="I22">
        <f>_xlfn.XLOOKUP(E22,Data!$A$2:$A$8,Data!$C$2:$C$8)</f>
        <v>37.5</v>
      </c>
      <c r="J22">
        <f>_xlfn.XLOOKUP(E22,Data!$A$2:$A$8,Data!$D$2:$D$8)</f>
        <v>-102.5</v>
      </c>
      <c r="K22" s="4">
        <v>10</v>
      </c>
      <c r="L22" s="6">
        <f t="shared" si="0"/>
        <v>3.3583626963149737</v>
      </c>
      <c r="M22" s="9" t="s">
        <v>18</v>
      </c>
      <c r="N22" s="9">
        <v>1</v>
      </c>
      <c r="O22">
        <f t="shared" si="1"/>
        <v>0</v>
      </c>
      <c r="P22" s="8">
        <v>87</v>
      </c>
      <c r="Q22" s="8">
        <v>1</v>
      </c>
    </row>
    <row r="23" spans="2:24" x14ac:dyDescent="0.35">
      <c r="B23" s="1">
        <v>0</v>
      </c>
      <c r="C23">
        <v>6</v>
      </c>
      <c r="D23" t="s">
        <v>11</v>
      </c>
      <c r="E23">
        <v>2</v>
      </c>
      <c r="F23" t="s">
        <v>7</v>
      </c>
      <c r="G23">
        <f>_xlfn.XLOOKUP(C23,Data!$A$2:$A$8,Data!$C$2:$C$8)</f>
        <v>38.549999999999997</v>
      </c>
      <c r="H23">
        <f>_xlfn.XLOOKUP(C23,Data!$A$2:$A$8,Data!$D$2:$D$8)</f>
        <v>-99.31</v>
      </c>
      <c r="I23">
        <f>_xlfn.XLOOKUP(E23,Data!$A$2:$A$8,Data!$C$2:$C$8)</f>
        <v>31.68</v>
      </c>
      <c r="J23">
        <f>_xlfn.XLOOKUP(E23,Data!$A$2:$A$8,Data!$D$2:$D$8)</f>
        <v>-118.85</v>
      </c>
      <c r="K23" s="4">
        <v>22</v>
      </c>
      <c r="L23" s="6">
        <f t="shared" si="0"/>
        <v>20.712520368125162</v>
      </c>
      <c r="M23" t="s">
        <v>20</v>
      </c>
      <c r="N23">
        <v>0</v>
      </c>
      <c r="O23">
        <f t="shared" si="1"/>
        <v>1</v>
      </c>
      <c r="P23" s="8">
        <v>84</v>
      </c>
      <c r="Q23" s="8">
        <v>1</v>
      </c>
    </row>
    <row r="24" spans="2:24" x14ac:dyDescent="0.35">
      <c r="B24" s="1">
        <v>0</v>
      </c>
      <c r="C24">
        <v>6</v>
      </c>
      <c r="D24" t="s">
        <v>11</v>
      </c>
      <c r="E24">
        <v>3</v>
      </c>
      <c r="F24" t="s">
        <v>8</v>
      </c>
      <c r="G24">
        <f>_xlfn.XLOOKUP(C24,Data!$A$2:$A$8,Data!$C$2:$C$8)</f>
        <v>38.549999999999997</v>
      </c>
      <c r="H24">
        <f>_xlfn.XLOOKUP(C24,Data!$A$2:$A$8,Data!$D$2:$D$8)</f>
        <v>-99.31</v>
      </c>
      <c r="I24">
        <f>_xlfn.XLOOKUP(E24,Data!$A$2:$A$8,Data!$C$2:$C$8)</f>
        <v>44.19</v>
      </c>
      <c r="J24">
        <f>_xlfn.XLOOKUP(E24,Data!$A$2:$A$8,Data!$D$2:$D$8)</f>
        <v>-101.34</v>
      </c>
      <c r="K24" s="4">
        <v>10</v>
      </c>
      <c r="L24" s="6">
        <f t="shared" si="0"/>
        <v>5.9942055353482839</v>
      </c>
      <c r="M24" s="9" t="s">
        <v>25</v>
      </c>
      <c r="N24" s="9">
        <v>1</v>
      </c>
      <c r="O24">
        <f t="shared" si="1"/>
        <v>0</v>
      </c>
      <c r="P24" s="8">
        <v>92</v>
      </c>
      <c r="Q24" s="8">
        <v>1</v>
      </c>
    </row>
    <row r="25" spans="2:24" x14ac:dyDescent="0.35">
      <c r="B25" s="1">
        <v>0</v>
      </c>
      <c r="C25">
        <v>6</v>
      </c>
      <c r="D25" t="s">
        <v>11</v>
      </c>
      <c r="E25">
        <v>5</v>
      </c>
      <c r="F25" t="s">
        <v>10</v>
      </c>
      <c r="G25">
        <f>_xlfn.XLOOKUP(C25,Data!$A$2:$A$8,Data!$C$2:$C$8)</f>
        <v>38.549999999999997</v>
      </c>
      <c r="H25">
        <f>_xlfn.XLOOKUP(C25,Data!$A$2:$A$8,Data!$D$2:$D$8)</f>
        <v>-99.31</v>
      </c>
      <c r="I25">
        <f>_xlfn.XLOOKUP(E25,Data!$A$2:$A$8,Data!$C$2:$C$8)</f>
        <v>34.200000000000003</v>
      </c>
      <c r="J25">
        <f>_xlfn.XLOOKUP(E25,Data!$A$2:$A$8,Data!$D$2:$D$8)</f>
        <v>-101.36</v>
      </c>
      <c r="K25" s="4">
        <v>18</v>
      </c>
      <c r="L25" s="6">
        <f t="shared" si="0"/>
        <v>4.8088460154178296</v>
      </c>
      <c r="M25" t="s">
        <v>24</v>
      </c>
      <c r="N25">
        <v>0</v>
      </c>
      <c r="O25">
        <f t="shared" si="1"/>
        <v>1</v>
      </c>
      <c r="P25">
        <v>33</v>
      </c>
      <c r="Q25" s="8">
        <v>0</v>
      </c>
    </row>
    <row r="26" spans="2:24" x14ac:dyDescent="0.35">
      <c r="B26" s="1">
        <v>0</v>
      </c>
      <c r="C26">
        <v>6</v>
      </c>
      <c r="D26" t="s">
        <v>11</v>
      </c>
      <c r="E26">
        <v>7</v>
      </c>
      <c r="F26" t="s">
        <v>12</v>
      </c>
      <c r="G26">
        <f>_xlfn.XLOOKUP(C26,Data!$A$2:$A$8,Data!$C$2:$C$8)</f>
        <v>38.549999999999997</v>
      </c>
      <c r="H26">
        <f>_xlfn.XLOOKUP(C26,Data!$A$2:$A$8,Data!$D$2:$D$8)</f>
        <v>-99.31</v>
      </c>
      <c r="I26">
        <f>_xlfn.XLOOKUP(E26,Data!$A$2:$A$8,Data!$C$2:$C$8)</f>
        <v>40.450000000000003</v>
      </c>
      <c r="J26">
        <f>_xlfn.XLOOKUP(E26,Data!$A$2:$A$8,Data!$D$2:$D$8)</f>
        <v>-100.39</v>
      </c>
      <c r="K26" s="4">
        <v>11</v>
      </c>
      <c r="L26" s="6">
        <f t="shared" si="0"/>
        <v>2.1854976549976022</v>
      </c>
      <c r="M26" t="s">
        <v>23</v>
      </c>
      <c r="N26">
        <v>0</v>
      </c>
      <c r="O26">
        <f t="shared" si="1"/>
        <v>1</v>
      </c>
      <c r="P26">
        <v>34</v>
      </c>
      <c r="Q26" s="8">
        <v>0</v>
      </c>
    </row>
    <row r="27" spans="2:24" x14ac:dyDescent="0.35">
      <c r="B27" s="1">
        <v>0</v>
      </c>
      <c r="C27">
        <v>7</v>
      </c>
      <c r="D27" t="s">
        <v>12</v>
      </c>
      <c r="E27">
        <v>1</v>
      </c>
      <c r="F27" t="s">
        <v>6</v>
      </c>
      <c r="G27">
        <f>_xlfn.XLOOKUP(C27,Data!$A$2:$A$8,Data!$C$2:$C$8)</f>
        <v>40.450000000000003</v>
      </c>
      <c r="H27">
        <f>_xlfn.XLOOKUP(C27,Data!$A$2:$A$8,Data!$D$2:$D$8)</f>
        <v>-100.39</v>
      </c>
      <c r="I27">
        <f>_xlfn.XLOOKUP(E27,Data!$A$2:$A$8,Data!$C$2:$C$8)</f>
        <v>37.5</v>
      </c>
      <c r="J27">
        <f>_xlfn.XLOOKUP(E27,Data!$A$2:$A$8,Data!$D$2:$D$8)</f>
        <v>-102.5</v>
      </c>
      <c r="K27" s="4">
        <v>12</v>
      </c>
      <c r="L27" s="6">
        <f t="shared" si="0"/>
        <v>3.6269270739842585</v>
      </c>
      <c r="M27" t="s">
        <v>24</v>
      </c>
      <c r="N27">
        <v>0</v>
      </c>
      <c r="O27">
        <f t="shared" si="1"/>
        <v>1</v>
      </c>
      <c r="P27" s="8">
        <v>87</v>
      </c>
      <c r="Q27" s="8">
        <v>1</v>
      </c>
    </row>
    <row r="28" spans="2:24" x14ac:dyDescent="0.35">
      <c r="B28" s="1">
        <v>1073.6349796123293</v>
      </c>
      <c r="C28">
        <v>7</v>
      </c>
      <c r="D28" t="s">
        <v>12</v>
      </c>
      <c r="E28">
        <v>6</v>
      </c>
      <c r="F28" t="s">
        <v>11</v>
      </c>
      <c r="G28">
        <f>_xlfn.XLOOKUP(C28,Data!$A$2:$A$8,Data!$C$2:$C$8)</f>
        <v>40.450000000000003</v>
      </c>
      <c r="H28">
        <f>_xlfn.XLOOKUP(C28,Data!$A$2:$A$8,Data!$D$2:$D$8)</f>
        <v>-100.39</v>
      </c>
      <c r="I28">
        <f>_xlfn.XLOOKUP(E28,Data!$A$2:$A$8,Data!$C$2:$C$8)</f>
        <v>38.549999999999997</v>
      </c>
      <c r="J28">
        <f>_xlfn.XLOOKUP(E28,Data!$A$2:$A$8,Data!$D$2:$D$8)</f>
        <v>-99.31</v>
      </c>
      <c r="K28" s="4">
        <v>24</v>
      </c>
      <c r="L28" s="6">
        <f t="shared" si="0"/>
        <v>2.1854976549976022</v>
      </c>
      <c r="M28" t="s">
        <v>19</v>
      </c>
      <c r="N28">
        <v>0</v>
      </c>
      <c r="O28">
        <f t="shared" si="1"/>
        <v>1</v>
      </c>
      <c r="P28">
        <v>30</v>
      </c>
      <c r="Q28" s="11">
        <v>0</v>
      </c>
    </row>
  </sheetData>
  <mergeCells count="3">
    <mergeCell ref="U13:U14"/>
    <mergeCell ref="V13:V14"/>
    <mergeCell ref="X13:X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C45F8C38E2F7449B81D360E8EC28DF" ma:contentTypeVersion="14" ma:contentTypeDescription="Create a new document." ma:contentTypeScope="" ma:versionID="27debc36873ec148a9f4fc7174f4a13e">
  <xsd:schema xmlns:xsd="http://www.w3.org/2001/XMLSchema" xmlns:xs="http://www.w3.org/2001/XMLSchema" xmlns:p="http://schemas.microsoft.com/office/2006/metadata/properties" xmlns:ns3="580d1518-9a38-4efc-9256-c61c5ecdae13" xmlns:ns4="62775453-3938-4fc9-879a-0b66d953608e" targetNamespace="http://schemas.microsoft.com/office/2006/metadata/properties" ma:root="true" ma:fieldsID="c29a525084485e219bf7f171ab5ec2e6" ns3:_="" ns4:_="">
    <xsd:import namespace="580d1518-9a38-4efc-9256-c61c5ecdae13"/>
    <xsd:import namespace="62775453-3938-4fc9-879a-0b66d953608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DateTake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0d1518-9a38-4efc-9256-c61c5ecdae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775453-3938-4fc9-879a-0b66d95360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2775453-3938-4fc9-879a-0b66d953608e" xsi:nil="true"/>
  </documentManagement>
</p:properties>
</file>

<file path=customXml/itemProps1.xml><?xml version="1.0" encoding="utf-8"?>
<ds:datastoreItem xmlns:ds="http://schemas.openxmlformats.org/officeDocument/2006/customXml" ds:itemID="{4034767F-2DAF-4784-887E-7A7D80EB2B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0d1518-9a38-4efc-9256-c61c5ecdae13"/>
    <ds:schemaRef ds:uri="62775453-3938-4fc9-879a-0b66d95360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0BB2FE-5D07-4584-8B2F-4E02817EC9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B2853C-EE74-42AA-A29C-F75D18E0CD76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62775453-3938-4fc9-879a-0b66d953608e"/>
    <ds:schemaRef ds:uri="580d1518-9a38-4efc-9256-c61c5ecdae13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Addison Morin</cp:lastModifiedBy>
  <dcterms:created xsi:type="dcterms:W3CDTF">2025-04-16T22:53:50Z</dcterms:created>
  <dcterms:modified xsi:type="dcterms:W3CDTF">2025-04-17T17:08:36Z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0x010100C0C45F8C38E2F7449B81D360E8EC28DF</vt:lpwstr>
  </property>
</Properties>
</file>