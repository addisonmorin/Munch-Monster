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hidePivotFieldList="1" defaultThemeVersion="202300"/>
  <mc:AlternateContent xmlns:mc="http://schemas.openxmlformats.org/markup-compatibility/2006">
    <mc:Choice Requires="x15">
      <x15ac:absPath xmlns:x15ac="http://schemas.microsoft.com/office/spreadsheetml/2010/11/ac" url="C:\Users\student\Desktop\Module 3\"/>
    </mc:Choice>
  </mc:AlternateContent>
  <xr:revisionPtr revIDLastSave="0" documentId="8_{86857E6C-BEF5-4F20-8A5D-63239D3795D1}" xr6:coauthVersionLast="47" xr6:coauthVersionMax="47" xr10:uidLastSave="{00000000-0000-0000-0000-000000000000}"/>
  <bookViews>
    <workbookView xWindow="-110" yWindow="-110" windowWidth="19420" windowHeight="10300" firstSheet="1" activeTab="1" xr2:uid="{9FF3598C-F1F7-45D4-BBC3-FF37FDCD7DCC}"/>
  </bookViews>
  <sheets>
    <sheet name="Aggregated Data" sheetId="3" r:id="rId1"/>
    <sheet name="Yearly Aggregated Data" sheetId="5" r:id="rId2"/>
    <sheet name="Data" sheetId="1" r:id="rId3"/>
    <sheet name="Model" sheetId="7" r:id="rId4"/>
  </sheets>
  <definedNames>
    <definedName name="Slicer_year">#N/A</definedName>
    <definedName name="solver_adj" localSheetId="3" hidden="1">Model!$D$5:$G$5</definedName>
    <definedName name="solver_cvg" localSheetId="3" hidden="1">0.0001</definedName>
    <definedName name="solver_drv" localSheetId="3" hidden="1">2</definedName>
    <definedName name="solver_eng" localSheetId="3" hidden="1">2</definedName>
    <definedName name="solver_est" localSheetId="3" hidden="1">1</definedName>
    <definedName name="solver_itr" localSheetId="3" hidden="1">2147483647</definedName>
    <definedName name="solver_lhs1" localSheetId="3" hidden="1">Model!$D$5:$G$5</definedName>
    <definedName name="solver_lhs2" localSheetId="3" hidden="1">Model!$D$7:$G$7</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2</definedName>
    <definedName name="solver_nwt" localSheetId="3" hidden="1">1</definedName>
    <definedName name="solver_opt" localSheetId="3" hidden="1">Model!$D$15</definedName>
    <definedName name="solver_pre" localSheetId="3" hidden="1">0.000001</definedName>
    <definedName name="solver_rbv" localSheetId="3" hidden="1">2</definedName>
    <definedName name="solver_rel1" localSheetId="3" hidden="1">1</definedName>
    <definedName name="solver_rel2" localSheetId="3" hidden="1">3</definedName>
    <definedName name="solver_rhs1" localSheetId="3" hidden="1">Model!$D$10:$G$10</definedName>
    <definedName name="solver_rhs2" localSheetId="3" hidden="1">Model!$D$12:$G$12</definedName>
    <definedName name="solver_rlx" localSheetId="3" hidden="1">2</definedName>
    <definedName name="solver_rsd" localSheetId="3" hidden="1">0</definedName>
    <definedName name="solver_scl" localSheetId="3" hidden="1">2</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7" l="1"/>
  <c r="F20" i="7"/>
  <c r="G20" i="7"/>
  <c r="D20" i="7"/>
  <c r="E18" i="7"/>
  <c r="F18" i="7"/>
  <c r="G18" i="7"/>
  <c r="D18" i="7"/>
  <c r="D7" i="7"/>
  <c r="D15" i="7" s="1"/>
  <c r="D21" i="7" s="1"/>
  <c r="E15" i="3"/>
  <c r="E14" i="3"/>
  <c r="E16" i="3"/>
  <c r="E17" i="3"/>
  <c r="E4" i="7" l="1"/>
  <c r="E7" i="7" s="1"/>
  <c r="F4" i="7" s="1"/>
  <c r="F7" i="7" s="1"/>
  <c r="G4" i="7" s="1"/>
  <c r="E15" i="7" l="1"/>
  <c r="E21" i="7" s="1"/>
  <c r="G7" i="7"/>
  <c r="G15" i="7" s="1"/>
  <c r="G21" i="7" s="1"/>
  <c r="F15" i="7"/>
  <c r="F21" i="7" s="1"/>
  <c r="C23" i="7" l="1" a="1"/>
  <c r="C23" i="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<sst xmlns="http://schemas.openxmlformats.org/spreadsheetml/2006/main" count="40" uniqueCount="32">
  <si>
    <t>year</t>
  </si>
  <si>
    <t>quarter</t>
  </si>
  <si>
    <t>capacity</t>
  </si>
  <si>
    <t>demand</t>
  </si>
  <si>
    <t>production_cost</t>
  </si>
  <si>
    <t>starting_inventory</t>
  </si>
  <si>
    <t>carry_cost</t>
  </si>
  <si>
    <t>safety_stock_pct</t>
  </si>
  <si>
    <t>Row Labels</t>
  </si>
  <si>
    <t>(blank)</t>
  </si>
  <si>
    <t>Grand Total</t>
  </si>
  <si>
    <t>Safety Stock</t>
  </si>
  <si>
    <t>Average of capacity</t>
  </si>
  <si>
    <t>Average of production_cost</t>
  </si>
  <si>
    <t>Average of demand</t>
  </si>
  <si>
    <t>Capacity</t>
  </si>
  <si>
    <t>Demand</t>
  </si>
  <si>
    <t>Production Cost</t>
  </si>
  <si>
    <t>Year</t>
  </si>
  <si>
    <t>Beginning Inventory</t>
  </si>
  <si>
    <t>Maximum Production</t>
  </si>
  <si>
    <t>Minimum Inventory</t>
  </si>
  <si>
    <t>Average Inventory</t>
  </si>
  <si>
    <t>Unit Production Cost</t>
  </si>
  <si>
    <t>Monthly Production Cost</t>
  </si>
  <si>
    <t>Monthly Carrying Cost</t>
  </si>
  <si>
    <t>Total Cost</t>
  </si>
  <si>
    <t>Units Produced</t>
  </si>
  <si>
    <t>Units Demanded</t>
  </si>
  <si>
    <t>Ending Inventory</t>
  </si>
  <si>
    <t>Unit Carrying Cost</t>
  </si>
  <si>
    <t>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</si>
</sst>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43" formatCode="_(* #,##0.00_);_(* \(#,##0.00\);_(* &quot;-&quot;??_);_(@_)"/>
    <numFmt numFmtId="164" formatCode="0.0"/>
    <numFmt numFmtId="165" formatCode="_(&quot;$&quot;* #,##0_);_(&quot;$&quot;* \(#,##0\);_(&quot;$&quot;* &quot;-&quot;??_);_(@_)"/>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0"/>
      <name val="Arial"/>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5">
    <xf numFmtId="0" fontId="0" fillId="0" borderId="0"/>
    <xf numFmtId="44"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xf numFmtId="43" fontId="18"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2" fontId="0" fillId="0" borderId="0" xfId="0" applyNumberFormat="1"/>
    <xf numFmtId="44" fontId="0" fillId="0" borderId="0" xfId="1" applyFont="1"/>
    <xf numFmtId="165" fontId="0" fillId="0" borderId="0" xfId="0" applyNumberFormat="1"/>
    <xf numFmtId="0" fontId="11" fillId="6" borderId="4" xfId="12"/>
    <xf numFmtId="0" fontId="16" fillId="0" borderId="0" xfId="0" applyFont="1"/>
    <xf numFmtId="165" fontId="0" fillId="0" borderId="0" xfId="1" applyNumberFormat="1" applyFont="1"/>
  </cellXfs>
  <cellStyles count="45">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2" xfId="44" xr:uid="{663E86FD-95D5-4823-8512-8619FB664EE4}"/>
    <cellStyle name="Currency" xfId="1" builtinId="4"/>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rmal 2" xfId="43" xr:uid="{C0B99BA1-E669-45DF-A42C-4DFA7C3407BB}"/>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3">
    <dxf>
      <numFmt numFmtId="165" formatCode="_(&quot;$&quot;* #,##0_);_(&quot;$&quot;* \(#,##0\);_(&quot;$&quot;* &quot;-&quot;??_);_(@_)"/>
    </dxf>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[Munch Monster past demand (m3).xlsx]Yearly Aggregated Data!PivotTable4</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064581673297188E-2"/>
          <c:y val="7.5763868074088248E-2"/>
          <c:w val="0.70158684815780203"/>
          <c:h val="0.72994478410186592"/>
        </c:manualLayout>
      </c:layout>
      <c:barChart>
        <c:barDir val="col"/>
        <c:grouping val="clustered"/>
        <c:varyColors val="0"/>
        <c:ser>
          <c:idx val="0"/>
          <c:order val="0"/>
          <c:tx>
            <c:strRef>
              <c:f>'Yearly Aggregated Data'!$B$3</c:f>
              <c:strCache>
                <c:ptCount val="1"/>
                <c:pt idx="0">
                  <c:v>Average of capacity</c:v>
                </c:pt>
              </c:strCache>
            </c:strRef>
          </c:tx>
          <c:spPr>
            <a:solidFill>
              <a:schemeClr val="accent1"/>
            </a:solidFill>
            <a:ln>
              <a:noFill/>
            </a:ln>
            <a:effectLst/>
          </c:spPr>
          <c:invertIfNegative val="0"/>
          <c:cat>
            <c:strRef>
              <c:f>'Yearly Aggregated Data'!$A$4:$A$29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(blank)</c:v>
                </c:pt>
              </c:strCache>
            </c:strRef>
          </c:cat>
          <c:val>
            <c:numRef>
              <c:f>'Yearly Aggregated Data'!$B$4:$B$29</c:f>
              <c:numCache>
                <c:formatCode>0</c:formatCode>
                <c:ptCount val="25"/>
                <c:pt idx="0">
                  <c:v>496.03</c:v>
                </c:pt>
                <c:pt idx="1">
                  <c:v>468.63249999999994</c:v>
                </c:pt>
                <c:pt idx="2">
                  <c:v>479.42500000000001</c:v>
                </c:pt>
                <c:pt idx="3">
                  <c:v>495.79</c:v>
                </c:pt>
                <c:pt idx="4">
                  <c:v>495.84999999999997</c:v>
                </c:pt>
                <c:pt idx="5">
                  <c:v>441.90250000000003</c:v>
                </c:pt>
                <c:pt idx="6">
                  <c:v>478.09749999999997</c:v>
                </c:pt>
                <c:pt idx="7">
                  <c:v>489.435</c:v>
                </c:pt>
                <c:pt idx="8">
                  <c:v>492.09000000000003</c:v>
                </c:pt>
                <c:pt idx="9">
                  <c:v>460.39750000000004</c:v>
                </c:pt>
                <c:pt idx="10">
                  <c:v>501.42249999999996</c:v>
                </c:pt>
                <c:pt idx="11">
                  <c:v>464.97</c:v>
                </c:pt>
                <c:pt idx="12">
                  <c:v>477.08249999999998</c:v>
                </c:pt>
                <c:pt idx="13">
                  <c:v>484.57749999999999</c:v>
                </c:pt>
                <c:pt idx="14">
                  <c:v>509.52499999999998</c:v>
                </c:pt>
                <c:pt idx="15">
                  <c:v>450.27</c:v>
                </c:pt>
                <c:pt idx="16">
                  <c:v>453.73999999999995</c:v>
                </c:pt>
                <c:pt idx="17">
                  <c:v>447.19749999999999</c:v>
                </c:pt>
                <c:pt idx="18">
                  <c:v>486.52750000000003</c:v>
                </c:pt>
                <c:pt idx="19">
                  <c:v>486.44749999999999</c:v>
                </c:pt>
                <c:pt idx="20">
                  <c:v>488.41750000000002</c:v>
                </c:pt>
                <c:pt idx="21">
                  <c:v>430.58249999999998</c:v>
                </c:pt>
                <c:pt idx="22">
                  <c:v>438.51499999999999</c:v>
                </c:pt>
                <c:pt idx="23">
                  <c:v>471.08249999999998</c:v>
                </c:pt>
              </c:numCache>
            </c:numRef>
          </c:val>
          <c:extLst>
            <c:ext xmlns:c16="http://schemas.microsoft.com/office/drawing/2014/chart" uri="{C3380CC4-5D6E-409C-BE32-E72D297353CC}">
              <c16:uniqueId val="{00000000-80D1-4258-AC13-76EB4F5BD075}"/>
            </c:ext>
          </c:extLst>
        </c:ser>
        <c:ser>
          <c:idx val="2"/>
          <c:order val="2"/>
          <c:tx>
            <c:strRef>
              <c:f>'Yearly Aggregated Data'!$D$3</c:f>
              <c:strCache>
                <c:ptCount val="1"/>
                <c:pt idx="0">
                  <c:v>Average of demand</c:v>
                </c:pt>
              </c:strCache>
            </c:strRef>
          </c:tx>
          <c:spPr>
            <a:solidFill>
              <a:schemeClr val="accent3"/>
            </a:solidFill>
            <a:ln>
              <a:noFill/>
            </a:ln>
            <a:effectLst/>
          </c:spPr>
          <c:invertIfNegative val="0"/>
          <c:cat>
            <c:strRef>
              <c:f>'Yearly Aggregated Data'!$A$4:$A$29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(blank)</c:v>
                </c:pt>
              </c:strCache>
            </c:strRef>
          </c:cat>
          <c:val>
            <c:numRef>
              <c:f>'Yearly Aggregated Data'!$D$4:$D$29</c:f>
              <c:numCache>
                <c:formatCode>0</c:formatCode>
                <c:ptCount val="25"/>
                <c:pt idx="0">
                  <c:v>464.86500000000001</c:v>
                </c:pt>
                <c:pt idx="1">
                  <c:v>410.53</c:v>
                </c:pt>
                <c:pt idx="2">
                  <c:v>388.09249999999997</c:v>
                </c:pt>
                <c:pt idx="3">
                  <c:v>438.85249999999996</c:v>
                </c:pt>
                <c:pt idx="4">
                  <c:v>495.09249999999997</c:v>
                </c:pt>
                <c:pt idx="5">
                  <c:v>421.24</c:v>
                </c:pt>
                <c:pt idx="6">
                  <c:v>544.75499999999988</c:v>
                </c:pt>
                <c:pt idx="7">
                  <c:v>455.33250000000004</c:v>
                </c:pt>
                <c:pt idx="8">
                  <c:v>350.56500000000005</c:v>
                </c:pt>
                <c:pt idx="9">
                  <c:v>396.935</c:v>
                </c:pt>
                <c:pt idx="10">
                  <c:v>444.50250000000005</c:v>
                </c:pt>
                <c:pt idx="11">
                  <c:v>403.91750000000002</c:v>
                </c:pt>
                <c:pt idx="12">
                  <c:v>410.44750000000005</c:v>
                </c:pt>
                <c:pt idx="13">
                  <c:v>417.3175</c:v>
                </c:pt>
                <c:pt idx="14">
                  <c:v>443.85</c:v>
                </c:pt>
                <c:pt idx="15">
                  <c:v>404.73500000000001</c:v>
                </c:pt>
                <c:pt idx="16">
                  <c:v>398.04</c:v>
                </c:pt>
                <c:pt idx="17">
                  <c:v>379.47749999999996</c:v>
                </c:pt>
                <c:pt idx="18">
                  <c:v>268.66500000000002</c:v>
                </c:pt>
                <c:pt idx="19">
                  <c:v>306.58499999999998</c:v>
                </c:pt>
                <c:pt idx="20">
                  <c:v>366.95249999999999</c:v>
                </c:pt>
                <c:pt idx="21">
                  <c:v>379.3175</c:v>
                </c:pt>
                <c:pt idx="22">
                  <c:v>491.84499999999997</c:v>
                </c:pt>
                <c:pt idx="23">
                  <c:v>352.08250000000004</c:v>
                </c:pt>
              </c:numCache>
            </c:numRef>
          </c:val>
          <c:extLst>
            <c:ext xmlns:c16="http://schemas.microsoft.com/office/drawing/2014/chart" uri="{C3380CC4-5D6E-409C-BE32-E72D297353CC}">
              <c16:uniqueId val="{00000002-80D1-4258-AC13-76EB4F5BD075}"/>
            </c:ext>
          </c:extLst>
        </c:ser>
        <c:dLbls>
          <c:showLegendKey val="0"/>
          <c:showVal val="0"/>
          <c:showCatName val="0"/>
          <c:showSerName val="0"/>
          <c:showPercent val="0"/>
          <c:showBubbleSize val="0"/>
        </c:dLbls>
        <c:gapWidth val="219"/>
        <c:axId val="913154328"/>
        <c:axId val="913159728"/>
      </c:barChart>
      <c:lineChart>
        <c:grouping val="standard"/>
        <c:varyColors val="0"/>
        <c:ser>
          <c:idx val="1"/>
          <c:order val="1"/>
          <c:tx>
            <c:strRef>
              <c:f>'Yearly Aggregated Data'!$C$3</c:f>
              <c:strCache>
                <c:ptCount val="1"/>
                <c:pt idx="0">
                  <c:v>Average of production_cost</c:v>
                </c:pt>
              </c:strCache>
            </c:strRef>
          </c:tx>
          <c:spPr>
            <a:ln w="28575" cap="rnd">
              <a:solidFill>
                <a:schemeClr val="accent2"/>
              </a:solidFill>
              <a:round/>
            </a:ln>
            <a:effectLst/>
          </c:spPr>
          <c:marker>
            <c:symbol val="none"/>
          </c:marker>
          <c:cat>
            <c:strRef>
              <c:f>'Yearly Aggregated Data'!$A$4:$A$29</c:f>
              <c:strCache>
                <c:ptCount val="25"/>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(blank)</c:v>
                </c:pt>
              </c:strCache>
            </c:strRef>
          </c:cat>
          <c:val>
            <c:numRef>
              <c:f>'Yearly Aggregated Data'!$C$4:$C$29</c:f>
              <c:numCache>
                <c:formatCode>_("$"* #,##0_);_("$"* \(#,##0\);_("$"* "-"??_);_(@_)</c:formatCode>
                <c:ptCount val="25"/>
                <c:pt idx="0">
                  <c:v>52.480000000000004</c:v>
                </c:pt>
                <c:pt idx="1">
                  <c:v>50.6875</c:v>
                </c:pt>
                <c:pt idx="2">
                  <c:v>46.712499999999999</c:v>
                </c:pt>
                <c:pt idx="3">
                  <c:v>45.355000000000004</c:v>
                </c:pt>
                <c:pt idx="4">
                  <c:v>50.92</c:v>
                </c:pt>
                <c:pt idx="5">
                  <c:v>48.902499999999996</c:v>
                </c:pt>
                <c:pt idx="6">
                  <c:v>44.097500000000004</c:v>
                </c:pt>
                <c:pt idx="7">
                  <c:v>50.477499999999999</c:v>
                </c:pt>
                <c:pt idx="8">
                  <c:v>47.185000000000002</c:v>
                </c:pt>
                <c:pt idx="9">
                  <c:v>47.532499999999999</c:v>
                </c:pt>
                <c:pt idx="10">
                  <c:v>51.415000000000006</c:v>
                </c:pt>
                <c:pt idx="11">
                  <c:v>49.01</c:v>
                </c:pt>
                <c:pt idx="12">
                  <c:v>47.564999999999998</c:v>
                </c:pt>
                <c:pt idx="13">
                  <c:v>47.057500000000005</c:v>
                </c:pt>
                <c:pt idx="14">
                  <c:v>48.614999999999995</c:v>
                </c:pt>
                <c:pt idx="15">
                  <c:v>51.07</c:v>
                </c:pt>
                <c:pt idx="16">
                  <c:v>44.162500000000001</c:v>
                </c:pt>
                <c:pt idx="17">
                  <c:v>54.534999999999997</c:v>
                </c:pt>
                <c:pt idx="18">
                  <c:v>53.732500000000002</c:v>
                </c:pt>
                <c:pt idx="19">
                  <c:v>51.372500000000002</c:v>
                </c:pt>
                <c:pt idx="20">
                  <c:v>51.125</c:v>
                </c:pt>
                <c:pt idx="21">
                  <c:v>55.339999999999996</c:v>
                </c:pt>
                <c:pt idx="22">
                  <c:v>49.077500000000001</c:v>
                </c:pt>
                <c:pt idx="23">
                  <c:v>50.047499999999999</c:v>
                </c:pt>
              </c:numCache>
            </c:numRef>
          </c:val>
          <c:smooth val="0"/>
          <c:extLst>
            <c:ext xmlns:c16="http://schemas.microsoft.com/office/drawing/2014/chart" uri="{C3380CC4-5D6E-409C-BE32-E72D297353CC}">
              <c16:uniqueId val="{00000001-80D1-4258-AC13-76EB4F5BD075}"/>
            </c:ext>
          </c:extLst>
        </c:ser>
        <c:dLbls>
          <c:showLegendKey val="0"/>
          <c:showVal val="0"/>
          <c:showCatName val="0"/>
          <c:showSerName val="0"/>
          <c:showPercent val="0"/>
          <c:showBubbleSize val="0"/>
        </c:dLbls>
        <c:marker val="1"/>
        <c:smooth val="0"/>
        <c:axId val="992401624"/>
        <c:axId val="992399464"/>
      </c:lineChart>
      <c:catAx>
        <c:axId val="913154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159728"/>
        <c:crosses val="autoZero"/>
        <c:auto val="1"/>
        <c:lblAlgn val="ctr"/>
        <c:lblOffset val="100"/>
        <c:noMultiLvlLbl val="0"/>
      </c:catAx>
      <c:valAx>
        <c:axId val="913159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154328"/>
        <c:crosses val="autoZero"/>
        <c:crossBetween val="between"/>
      </c:valAx>
      <c:valAx>
        <c:axId val="992399464"/>
        <c:scaling>
          <c:orientation val="minMax"/>
        </c:scaling>
        <c:delete val="0"/>
        <c:axPos val="r"/>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2401624"/>
        <c:crosses val="max"/>
        <c:crossBetween val="between"/>
      </c:valAx>
      <c:catAx>
        <c:axId val="992401624"/>
        <c:scaling>
          <c:orientation val="minMax"/>
        </c:scaling>
        <c:delete val="1"/>
        <c:axPos val="b"/>
        <c:numFmt formatCode="General" sourceLinked="1"/>
        <c:majorTickMark val="out"/>
        <c:minorTickMark val="none"/>
        <c:tickLblPos val="nextTo"/>
        <c:crossAx val="99239946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18</xdr:col>
      <xdr:colOff>241299</xdr:colOff>
      <xdr:row>7</xdr:row>
      <xdr:rowOff>17461</xdr:rowOff>
    </xdr:from>
    <xdr:to>
      <xdr:col>21</xdr:col>
      <xdr:colOff>236537</xdr:colOff>
      <xdr:row>21</xdr:row>
      <xdr:rowOff>80958</xdr:rowOff>
    </xdr:to>
    <mc:AlternateContent xmlns:mc="http://schemas.openxmlformats.org/markup-compatibility/2006" xmlns:a14="http://schemas.microsoft.com/office/drawing/2010/main">
      <mc:Choice Requires="a14">
        <xdr:graphicFrame macro="">
          <xdr:nvGraphicFramePr>
            <xdr:cNvPr id="2" name="year">
              <a:extLst>
                <a:ext uri="{FF2B5EF4-FFF2-40B4-BE49-F238E27FC236}">
                  <a16:creationId xmlns:a16="http://schemas.microsoft.com/office/drawing/2014/main" id="{1802CB49-7CDA-61AC-495B-DEC62FFCB1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663612" y="1295399"/>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317500</xdr:colOff>
      <xdr:row>1</xdr:row>
      <xdr:rowOff>164305</xdr:rowOff>
    </xdr:from>
    <xdr:to>
      <xdr:col>18</xdr:col>
      <xdr:colOff>71437</xdr:colOff>
      <xdr:row>24</xdr:row>
      <xdr:rowOff>119063</xdr:rowOff>
    </xdr:to>
    <xdr:graphicFrame macro="">
      <xdr:nvGraphicFramePr>
        <xdr:cNvPr id="4" name="Chart 3">
          <a:extLst>
            <a:ext uri="{FF2B5EF4-FFF2-40B4-BE49-F238E27FC236}">
              <a16:creationId xmlns:a16="http://schemas.microsoft.com/office/drawing/2014/main" id="{F75A7746-4148-6933-4DCB-84E2E4BE9A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tudent" refreshedDate="45707.801215277781" createdVersion="8" refreshedVersion="8" minRefreshableVersion="3" recordCount="97" xr:uid="{FB73FE73-290C-4FE5-A9D9-58F4C0EAA12C}">
  <cacheSource type="worksheet">
    <worksheetSource ref="A1:E1048576" sheet="Data"/>
  </cacheSource>
  <cacheFields count="5">
    <cacheField name="year" numFmtId="0">
      <sharedItems containsString="0" containsBlank="1" containsNumber="1" containsInteger="1" minValue="2000" maxValue="2023" count="25">
        <n v="2000"/>
        <n v="2001"/>
        <n v="2002"/>
        <n v="2003"/>
        <n v="2004"/>
        <n v="2005"/>
        <n v="2006"/>
        <n v="2007"/>
        <n v="2008"/>
        <n v="2009"/>
        <n v="2010"/>
        <n v="2011"/>
        <n v="2012"/>
        <n v="2013"/>
        <n v="2014"/>
        <n v="2015"/>
        <n v="2016"/>
        <n v="2017"/>
        <n v="2018"/>
        <n v="2019"/>
        <n v="2020"/>
        <n v="2021"/>
        <n v="2022"/>
        <n v="2023"/>
        <m/>
      </sharedItems>
    </cacheField>
    <cacheField name="quarter" numFmtId="0">
      <sharedItems containsString="0" containsBlank="1" containsNumber="1" containsInteger="1" minValue="1" maxValue="4" count="5">
        <n v="1"/>
        <n v="2"/>
        <n v="3"/>
        <n v="4"/>
        <m/>
      </sharedItems>
    </cacheField>
    <cacheField name="capacity" numFmtId="0">
      <sharedItems containsString="0" containsBlank="1" containsNumber="1" minValue="294.93" maxValue="733.27" count="96">
        <n v="686.16"/>
        <n v="306.8"/>
        <n v="651.01"/>
        <n v="340.15"/>
        <n v="581.96"/>
        <n v="348.64"/>
        <n v="581.79"/>
        <n v="362.14"/>
        <n v="457.61"/>
        <n v="337.72"/>
        <n v="727.63"/>
        <n v="394.74"/>
        <n v="606.08000000000004"/>
        <n v="305.12"/>
        <n v="733.27"/>
        <n v="338.69"/>
        <n v="587.44000000000005"/>
        <n v="339.78"/>
        <n v="709.38"/>
        <n v="346.8"/>
        <n v="472.59"/>
        <n v="294.93"/>
        <n v="635.71"/>
        <n v="364.38"/>
        <n v="620.87"/>
        <n v="316.39999999999998"/>
        <n v="587.75"/>
        <n v="387.37"/>
        <n v="508.61"/>
        <n v="386.86"/>
        <n v="631.70000000000005"/>
        <n v="430.57"/>
        <n v="498.99"/>
        <n v="410.15"/>
        <n v="608.34"/>
        <n v="450.88"/>
        <n v="486.39"/>
        <n v="370.6"/>
        <n v="566.12"/>
        <n v="418.48"/>
        <n v="660.04"/>
        <n v="400.58"/>
        <n v="526.23"/>
        <n v="418.84"/>
        <n v="442.96"/>
        <n v="404.53"/>
        <n v="580.72"/>
        <n v="431.67"/>
        <n v="520.30999999999995"/>
        <n v="411.27"/>
        <n v="536.35"/>
        <n v="440.4"/>
        <n v="424.81"/>
        <n v="441.7"/>
        <n v="576.91"/>
        <n v="494.89"/>
        <n v="506.3"/>
        <n v="481.9"/>
        <n v="507.01"/>
        <n v="542.89"/>
        <n v="383.51"/>
        <n v="513.46"/>
        <n v="485.63"/>
        <n v="470.32"/>
        <n v="455.22"/>
        <n v="485.35"/>
        <n v="404.07"/>
        <n v="444.93"/>
        <n v="388.77"/>
        <n v="431.11"/>
        <n v="523.98"/>
        <n v="528.95000000000005"/>
        <n v="436.25"/>
        <n v="465.21"/>
        <n v="515.70000000000005"/>
        <n v="371.12"/>
        <n v="454.68"/>
        <n v="540.91"/>
        <n v="579.08000000000004"/>
        <n v="412.13"/>
        <n v="564.70000000000005"/>
        <n v="404.21"/>
        <n v="572.63"/>
        <n v="419.43"/>
        <n v="431.6"/>
        <n v="355.18"/>
        <n v="516.12"/>
        <n v="351.26"/>
        <n v="467.07"/>
        <n v="367.37"/>
        <n v="568.36"/>
        <n v="426.27"/>
        <n v="557.24"/>
        <n v="357.27"/>
        <n v="543.54999999999995"/>
        <m/>
      </sharedItems>
    </cacheField>
    <cacheField name="demand" numFmtId="0">
      <sharedItems containsString="0" containsBlank="1" containsNumber="1" minValue="58.07" maxValue="1066.27"/>
    </cacheField>
    <cacheField name="production_cost" numFmtId="0">
      <sharedItems containsString="0" containsBlank="1" containsNumber="1" minValue="28.2" maxValue="95.63"/>
    </cacheField>
  </cacheFields>
  <extLst>
    <ext xmlns:x14="http://schemas.microsoft.com/office/spreadsheetml/2009/9/main" uri="{725AE2AE-9491-48be-B2B4-4EB974FC3084}">
      <x14:pivotCacheDefinition pivotCacheId="1232817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7">
  <r>
    <x v="0"/>
    <x v="0"/>
    <x v="0"/>
    <n v="924.29"/>
    <n v="72.260000000000005"/>
  </r>
  <r>
    <x v="0"/>
    <x v="1"/>
    <x v="1"/>
    <n v="374.82"/>
    <n v="60.27"/>
  </r>
  <r>
    <x v="0"/>
    <x v="2"/>
    <x v="2"/>
    <n v="118.75"/>
    <n v="43.84"/>
  </r>
  <r>
    <x v="0"/>
    <x v="3"/>
    <x v="3"/>
    <n v="441.6"/>
    <n v="33.549999999999997"/>
  </r>
  <r>
    <x v="1"/>
    <x v="0"/>
    <x v="4"/>
    <n v="504.17"/>
    <n v="63.87"/>
  </r>
  <r>
    <x v="1"/>
    <x v="1"/>
    <x v="5"/>
    <n v="650.05999999999995"/>
    <n v="57.88"/>
  </r>
  <r>
    <x v="1"/>
    <x v="2"/>
    <x v="6"/>
    <n v="117.86"/>
    <n v="45.42"/>
  </r>
  <r>
    <x v="1"/>
    <x v="3"/>
    <x v="7"/>
    <n v="370.03"/>
    <n v="35.58"/>
  </r>
  <r>
    <x v="2"/>
    <x v="0"/>
    <x v="8"/>
    <n v="648.30999999999995"/>
    <n v="50.96"/>
  </r>
  <r>
    <x v="2"/>
    <x v="1"/>
    <x v="9"/>
    <n v="437.8"/>
    <n v="53.05"/>
  </r>
  <r>
    <x v="2"/>
    <x v="2"/>
    <x v="10"/>
    <n v="137.96"/>
    <n v="44.22"/>
  </r>
  <r>
    <x v="2"/>
    <x v="3"/>
    <x v="11"/>
    <n v="328.3"/>
    <n v="38.619999999999997"/>
  </r>
  <r>
    <x v="3"/>
    <x v="0"/>
    <x v="12"/>
    <n v="826.93"/>
    <n v="49.83"/>
  </r>
  <r>
    <x v="3"/>
    <x v="1"/>
    <x v="13"/>
    <n v="394.78"/>
    <n v="49.06"/>
  </r>
  <r>
    <x v="3"/>
    <x v="2"/>
    <x v="14"/>
    <n v="127.57"/>
    <n v="41.51"/>
  </r>
  <r>
    <x v="3"/>
    <x v="3"/>
    <x v="15"/>
    <n v="406.13"/>
    <n v="41.02"/>
  </r>
  <r>
    <x v="4"/>
    <x v="0"/>
    <x v="16"/>
    <n v="781.08"/>
    <n v="56.99"/>
  </r>
  <r>
    <x v="4"/>
    <x v="1"/>
    <x v="17"/>
    <n v="552.04999999999995"/>
    <n v="57.39"/>
  </r>
  <r>
    <x v="4"/>
    <x v="2"/>
    <x v="18"/>
    <n v="168.39"/>
    <n v="49.78"/>
  </r>
  <r>
    <x v="4"/>
    <x v="3"/>
    <x v="19"/>
    <n v="478.85"/>
    <n v="39.520000000000003"/>
  </r>
  <r>
    <x v="5"/>
    <x v="0"/>
    <x v="20"/>
    <n v="641.99"/>
    <n v="57.08"/>
  </r>
  <r>
    <x v="5"/>
    <x v="1"/>
    <x v="21"/>
    <n v="450.35"/>
    <n v="52.42"/>
  </r>
  <r>
    <x v="5"/>
    <x v="2"/>
    <x v="22"/>
    <n v="121.52"/>
    <n v="45.2"/>
  </r>
  <r>
    <x v="5"/>
    <x v="3"/>
    <x v="23"/>
    <n v="471.1"/>
    <n v="40.909999999999997"/>
  </r>
  <r>
    <x v="6"/>
    <x v="0"/>
    <x v="24"/>
    <n v="1033.58"/>
    <n v="48.61"/>
  </r>
  <r>
    <x v="6"/>
    <x v="1"/>
    <x v="25"/>
    <n v="541.91"/>
    <n v="46"/>
  </r>
  <r>
    <x v="6"/>
    <x v="2"/>
    <x v="26"/>
    <n v="107.29"/>
    <n v="51.31"/>
  </r>
  <r>
    <x v="6"/>
    <x v="3"/>
    <x v="27"/>
    <n v="496.24"/>
    <n v="30.47"/>
  </r>
  <r>
    <x v="7"/>
    <x v="0"/>
    <x v="28"/>
    <n v="727.76"/>
    <n v="60.48"/>
  </r>
  <r>
    <x v="7"/>
    <x v="1"/>
    <x v="29"/>
    <n v="446.76"/>
    <n v="60.94"/>
  </r>
  <r>
    <x v="7"/>
    <x v="2"/>
    <x v="30"/>
    <n v="147.61000000000001"/>
    <n v="41.22"/>
  </r>
  <r>
    <x v="7"/>
    <x v="3"/>
    <x v="31"/>
    <n v="499.2"/>
    <n v="39.270000000000003"/>
  </r>
  <r>
    <x v="8"/>
    <x v="0"/>
    <x v="32"/>
    <n v="650.99"/>
    <n v="49.21"/>
  </r>
  <r>
    <x v="8"/>
    <x v="1"/>
    <x v="33"/>
    <n v="228.93"/>
    <n v="48.56"/>
  </r>
  <r>
    <x v="8"/>
    <x v="2"/>
    <x v="34"/>
    <n v="124.74"/>
    <n v="49"/>
  </r>
  <r>
    <x v="8"/>
    <x v="3"/>
    <x v="35"/>
    <n v="397.6"/>
    <n v="41.97"/>
  </r>
  <r>
    <x v="9"/>
    <x v="0"/>
    <x v="36"/>
    <n v="475.87"/>
    <n v="45.03"/>
  </r>
  <r>
    <x v="9"/>
    <x v="1"/>
    <x v="37"/>
    <n v="421.42"/>
    <n v="56.88"/>
  </r>
  <r>
    <x v="9"/>
    <x v="2"/>
    <x v="38"/>
    <n v="116.35"/>
    <n v="48.6"/>
  </r>
  <r>
    <x v="9"/>
    <x v="3"/>
    <x v="39"/>
    <n v="574.1"/>
    <n v="39.619999999999997"/>
  </r>
  <r>
    <x v="10"/>
    <x v="0"/>
    <x v="40"/>
    <n v="683"/>
    <n v="50.34"/>
  </r>
  <r>
    <x v="10"/>
    <x v="1"/>
    <x v="41"/>
    <n v="345.26"/>
    <n v="52.85"/>
  </r>
  <r>
    <x v="10"/>
    <x v="2"/>
    <x v="42"/>
    <n v="122.89"/>
    <n v="53.17"/>
  </r>
  <r>
    <x v="10"/>
    <x v="3"/>
    <x v="43"/>
    <n v="626.86"/>
    <n v="49.3"/>
  </r>
  <r>
    <x v="11"/>
    <x v="0"/>
    <x v="44"/>
    <n v="535.88"/>
    <n v="47.3"/>
  </r>
  <r>
    <x v="11"/>
    <x v="1"/>
    <x v="45"/>
    <n v="357.34"/>
    <n v="42.9"/>
  </r>
  <r>
    <x v="11"/>
    <x v="2"/>
    <x v="46"/>
    <n v="101.95"/>
    <n v="60.43"/>
  </r>
  <r>
    <x v="11"/>
    <x v="3"/>
    <x v="47"/>
    <n v="620.5"/>
    <n v="45.41"/>
  </r>
  <r>
    <x v="12"/>
    <x v="0"/>
    <x v="48"/>
    <n v="619.4"/>
    <n v="47.79"/>
  </r>
  <r>
    <x v="12"/>
    <x v="1"/>
    <x v="49"/>
    <n v="474.52"/>
    <n v="39.79"/>
  </r>
  <r>
    <x v="12"/>
    <x v="2"/>
    <x v="50"/>
    <n v="75.89"/>
    <n v="55.11"/>
  </r>
  <r>
    <x v="12"/>
    <x v="3"/>
    <x v="51"/>
    <n v="471.98"/>
    <n v="47.57"/>
  </r>
  <r>
    <x v="13"/>
    <x v="0"/>
    <x v="52"/>
    <n v="588.16999999999996"/>
    <n v="43.29"/>
  </r>
  <r>
    <x v="13"/>
    <x v="1"/>
    <x v="53"/>
    <n v="366.87"/>
    <n v="48.94"/>
  </r>
  <r>
    <x v="13"/>
    <x v="2"/>
    <x v="54"/>
    <n v="155.53"/>
    <n v="50.08"/>
  </r>
  <r>
    <x v="13"/>
    <x v="3"/>
    <x v="55"/>
    <n v="558.70000000000005"/>
    <n v="45.92"/>
  </r>
  <r>
    <x v="14"/>
    <x v="0"/>
    <x v="56"/>
    <n v="731.36"/>
    <n v="37.58"/>
  </r>
  <r>
    <x v="14"/>
    <x v="1"/>
    <x v="57"/>
    <n v="370.55"/>
    <n v="50.72"/>
  </r>
  <r>
    <x v="14"/>
    <x v="2"/>
    <x v="58"/>
    <n v="68.959999999999994"/>
    <n v="60.8"/>
  </r>
  <r>
    <x v="14"/>
    <x v="3"/>
    <x v="59"/>
    <n v="604.53"/>
    <n v="45.36"/>
  </r>
  <r>
    <x v="15"/>
    <x v="0"/>
    <x v="39"/>
    <n v="659.7"/>
    <n v="47.18"/>
  </r>
  <r>
    <x v="15"/>
    <x v="1"/>
    <x v="60"/>
    <n v="453.54"/>
    <n v="41.71"/>
  </r>
  <r>
    <x v="15"/>
    <x v="2"/>
    <x v="61"/>
    <n v="112.73"/>
    <n v="63.58"/>
  </r>
  <r>
    <x v="15"/>
    <x v="3"/>
    <x v="62"/>
    <n v="392.97"/>
    <n v="51.81"/>
  </r>
  <r>
    <x v="16"/>
    <x v="0"/>
    <x v="63"/>
    <n v="527.08000000000004"/>
    <n v="31.21"/>
  </r>
  <r>
    <x v="16"/>
    <x v="1"/>
    <x v="64"/>
    <n v="465.16"/>
    <n v="44.89"/>
  </r>
  <r>
    <x v="16"/>
    <x v="2"/>
    <x v="65"/>
    <n v="102.2"/>
    <n v="61.74"/>
  </r>
  <r>
    <x v="16"/>
    <x v="3"/>
    <x v="66"/>
    <n v="497.72"/>
    <n v="38.81"/>
  </r>
  <r>
    <x v="17"/>
    <x v="0"/>
    <x v="67"/>
    <n v="589.24"/>
    <n v="41.73"/>
  </r>
  <r>
    <x v="17"/>
    <x v="1"/>
    <x v="68"/>
    <n v="399.07"/>
    <n v="47.28"/>
  </r>
  <r>
    <x v="17"/>
    <x v="2"/>
    <x v="69"/>
    <n v="83.62"/>
    <n v="71.87"/>
  </r>
  <r>
    <x v="17"/>
    <x v="3"/>
    <x v="70"/>
    <n v="445.98"/>
    <n v="57.26"/>
  </r>
  <r>
    <x v="18"/>
    <x v="0"/>
    <x v="71"/>
    <n v="452.96"/>
    <n v="46.33"/>
  </r>
  <r>
    <x v="18"/>
    <x v="1"/>
    <x v="72"/>
    <n v="326.83999999999997"/>
    <n v="47.67"/>
  </r>
  <r>
    <x v="18"/>
    <x v="2"/>
    <x v="73"/>
    <n v="58.07"/>
    <n v="57.02"/>
  </r>
  <r>
    <x v="18"/>
    <x v="3"/>
    <x v="74"/>
    <n v="236.79"/>
    <n v="63.91"/>
  </r>
  <r>
    <x v="19"/>
    <x v="0"/>
    <x v="75"/>
    <n v="352.08"/>
    <n v="38.119999999999997"/>
  </r>
  <r>
    <x v="19"/>
    <x v="1"/>
    <x v="76"/>
    <n v="379.07"/>
    <n v="41.29"/>
  </r>
  <r>
    <x v="19"/>
    <x v="2"/>
    <x v="77"/>
    <n v="106.98"/>
    <n v="71.02"/>
  </r>
  <r>
    <x v="19"/>
    <x v="3"/>
    <x v="78"/>
    <n v="388.21"/>
    <n v="55.06"/>
  </r>
  <r>
    <x v="20"/>
    <x v="0"/>
    <x v="79"/>
    <n v="535.17999999999995"/>
    <n v="42.45"/>
  </r>
  <r>
    <x v="20"/>
    <x v="1"/>
    <x v="80"/>
    <n v="313.06"/>
    <n v="39.92"/>
  </r>
  <r>
    <x v="20"/>
    <x v="2"/>
    <x v="81"/>
    <n v="93.58"/>
    <n v="62.78"/>
  </r>
  <r>
    <x v="20"/>
    <x v="3"/>
    <x v="82"/>
    <n v="525.99"/>
    <n v="59.35"/>
  </r>
  <r>
    <x v="21"/>
    <x v="0"/>
    <x v="83"/>
    <n v="503.54"/>
    <n v="40.51"/>
  </r>
  <r>
    <x v="21"/>
    <x v="1"/>
    <x v="84"/>
    <n v="273.08999999999997"/>
    <n v="36.06"/>
  </r>
  <r>
    <x v="21"/>
    <x v="2"/>
    <x v="85"/>
    <n v="93.53"/>
    <n v="95.63"/>
  </r>
  <r>
    <x v="21"/>
    <x v="3"/>
    <x v="86"/>
    <n v="647.11"/>
    <n v="49.16"/>
  </r>
  <r>
    <x v="22"/>
    <x v="0"/>
    <x v="87"/>
    <n v="574.1"/>
    <n v="37.56"/>
  </r>
  <r>
    <x v="22"/>
    <x v="1"/>
    <x v="88"/>
    <n v="211.69"/>
    <n v="36.520000000000003"/>
  </r>
  <r>
    <x v="22"/>
    <x v="2"/>
    <x v="89"/>
    <n v="115.32"/>
    <n v="64.349999999999994"/>
  </r>
  <r>
    <x v="22"/>
    <x v="3"/>
    <x v="90"/>
    <n v="1066.27"/>
    <n v="57.88"/>
  </r>
  <r>
    <x v="23"/>
    <x v="0"/>
    <x v="91"/>
    <n v="409.36"/>
    <n v="38.619999999999997"/>
  </r>
  <r>
    <x v="23"/>
    <x v="1"/>
    <x v="92"/>
    <n v="269.05"/>
    <n v="28.2"/>
  </r>
  <r>
    <x v="23"/>
    <x v="2"/>
    <x v="93"/>
    <n v="60.71"/>
    <n v="68.3"/>
  </r>
  <r>
    <x v="23"/>
    <x v="3"/>
    <x v="94"/>
    <n v="669.21"/>
    <n v="65.069999999999993"/>
  </r>
  <r>
    <x v="24"/>
    <x v="4"/>
    <x v="9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42842D-6B3D-4AD1-98CC-FD1B706ADE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9" firstHeaderRow="0" firstDataRow="1" firstDataCol="1"/>
  <pivotFields count="5">
    <pivotField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axis="axisRow" showAll="0">
      <items count="6">
        <item x="0"/>
        <item x="1"/>
        <item x="2"/>
        <item x="3"/>
        <item x="4"/>
        <item t="default"/>
      </items>
    </pivotField>
    <pivotField dataField="1" showAll="0">
      <items count="97">
        <item x="21"/>
        <item x="13"/>
        <item x="1"/>
        <item x="25"/>
        <item x="9"/>
        <item x="15"/>
        <item x="17"/>
        <item x="3"/>
        <item x="19"/>
        <item x="5"/>
        <item x="87"/>
        <item x="85"/>
        <item x="93"/>
        <item x="7"/>
        <item x="23"/>
        <item x="89"/>
        <item x="37"/>
        <item x="75"/>
        <item x="60"/>
        <item x="29"/>
        <item x="27"/>
        <item x="68"/>
        <item x="11"/>
        <item x="41"/>
        <item x="66"/>
        <item x="81"/>
        <item x="45"/>
        <item x="33"/>
        <item x="49"/>
        <item x="79"/>
        <item x="39"/>
        <item x="43"/>
        <item x="83"/>
        <item x="52"/>
        <item x="91"/>
        <item x="31"/>
        <item x="69"/>
        <item x="84"/>
        <item x="47"/>
        <item x="72"/>
        <item x="51"/>
        <item x="53"/>
        <item x="44"/>
        <item x="67"/>
        <item x="35"/>
        <item x="76"/>
        <item x="64"/>
        <item x="8"/>
        <item x="73"/>
        <item x="88"/>
        <item x="63"/>
        <item x="20"/>
        <item x="57"/>
        <item x="65"/>
        <item x="62"/>
        <item x="36"/>
        <item x="55"/>
        <item x="32"/>
        <item x="56"/>
        <item x="58"/>
        <item x="28"/>
        <item x="61"/>
        <item x="74"/>
        <item x="86"/>
        <item x="48"/>
        <item x="70"/>
        <item x="42"/>
        <item x="71"/>
        <item x="50"/>
        <item x="77"/>
        <item x="59"/>
        <item x="94"/>
        <item x="92"/>
        <item x="80"/>
        <item x="38"/>
        <item x="90"/>
        <item x="82"/>
        <item x="54"/>
        <item x="78"/>
        <item x="46"/>
        <item x="6"/>
        <item x="4"/>
        <item x="16"/>
        <item x="26"/>
        <item x="12"/>
        <item x="34"/>
        <item x="24"/>
        <item x="30"/>
        <item x="22"/>
        <item x="2"/>
        <item x="40"/>
        <item x="0"/>
        <item x="18"/>
        <item x="10"/>
        <item x="14"/>
        <item x="95"/>
        <item t="default"/>
      </items>
    </pivotField>
    <pivotField dataField="1" showAll="0"/>
    <pivotField dataField="1" showAll="0"/>
  </pivotFields>
  <rowFields count="1">
    <field x="1"/>
  </rowFields>
  <rowItems count="6">
    <i>
      <x/>
    </i>
    <i>
      <x v="1"/>
    </i>
    <i>
      <x v="2"/>
    </i>
    <i>
      <x v="3"/>
    </i>
    <i>
      <x v="4"/>
    </i>
    <i t="grand">
      <x/>
    </i>
  </rowItems>
  <colFields count="1">
    <field x="-2"/>
  </colFields>
  <colItems count="3">
    <i>
      <x/>
    </i>
    <i i="1">
      <x v="1"/>
    </i>
    <i i="2">
      <x v="2"/>
    </i>
  </colItems>
  <dataFields count="3">
    <dataField name="Average of capacity" fld="2" subtotal="average" baseField="1" baseItem="0"/>
    <dataField name="Average of production_cost" fld="4" subtotal="average" baseField="1" baseItem="0"/>
    <dataField name="Average of demand" fld="3" subtotal="average" baseField="1" baseItem="0"/>
  </dataFields>
  <formats count="1">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84956D-5424-42F6-A995-CFB350FEB2A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Year">
  <location ref="A3:D29" firstHeaderRow="0" firstDataRow="1" firstDataCol="1"/>
  <pivotFields count="5">
    <pivotField axis="axisRow"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dataField="1" showAll="0"/>
    <pivotField dataField="1" showAll="0"/>
    <pivotField dataField="1" showAll="0"/>
  </pivotFields>
  <rowFields count="1">
    <field x="0"/>
  </rowFields>
  <rowItems count="26">
    <i>
      <x/>
    </i>
    <i>
      <x v="1"/>
    </i>
    <i>
      <x v="2"/>
    </i>
    <i>
      <x v="3"/>
    </i>
    <i>
      <x v="4"/>
    </i>
    <i>
      <x v="5"/>
    </i>
    <i>
      <x v="6"/>
    </i>
    <i>
      <x v="7"/>
    </i>
    <i>
      <x v="8"/>
    </i>
    <i>
      <x v="9"/>
    </i>
    <i>
      <x v="10"/>
    </i>
    <i>
      <x v="11"/>
    </i>
    <i>
      <x v="12"/>
    </i>
    <i>
      <x v="13"/>
    </i>
    <i>
      <x v="14"/>
    </i>
    <i>
      <x v="15"/>
    </i>
    <i>
      <x v="16"/>
    </i>
    <i>
      <x v="17"/>
    </i>
    <i>
      <x v="18"/>
    </i>
    <i>
      <x v="19"/>
    </i>
    <i>
      <x v="20"/>
    </i>
    <i>
      <x v="21"/>
    </i>
    <i>
      <x v="22"/>
    </i>
    <i>
      <x v="23"/>
    </i>
    <i>
      <x v="24"/>
    </i>
    <i t="grand">
      <x/>
    </i>
  </rowItems>
  <colFields count="1">
    <field x="-2"/>
  </colFields>
  <colItems count="3">
    <i>
      <x/>
    </i>
    <i i="1">
      <x v="1"/>
    </i>
    <i i="2">
      <x v="2"/>
    </i>
  </colItems>
  <dataFields count="3">
    <dataField name="Average of capacity" fld="2" subtotal="average" baseField="0" baseItem="19"/>
    <dataField name="Average of production_cost" fld="4" subtotal="average" baseField="0" baseItem="19" numFmtId="165"/>
    <dataField name="Average of demand" fld="3" subtotal="average" baseField="0" baseItem="19"/>
  </dataFields>
  <formats count="2">
    <format dxfId="1">
      <pivotArea outline="0" collapsedLevelsAreSubtotals="1" fieldPosition="0"/>
    </format>
    <format dxfId="0">
      <pivotArea outline="0" collapsedLevelsAreSubtotals="1" fieldPosition="0">
        <references count="1">
          <reference field="4294967294" count="1" selected="0">
            <x v="1"/>
          </reference>
        </references>
      </pivotArea>
    </format>
  </formats>
  <chartFormats count="3">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4A64155-749B-465E-B942-186CD8973D63}" sourceName="year">
  <pivotTables>
    <pivotTable tabId="5" name="PivotTable4"/>
  </pivotTables>
  <data>
    <tabular pivotCacheId="1232817395">
      <items count="25">
        <i x="0" s="1"/>
        <i x="1" s="1"/>
        <i x="2" s="1"/>
        <i x="3" s="1"/>
        <i x="4" s="1"/>
        <i x="5" s="1"/>
        <i x="6" s="1"/>
        <i x="7" s="1"/>
        <i x="8" s="1"/>
        <i x="9" s="1"/>
        <i x="10" s="1"/>
        <i x="11" s="1"/>
        <i x="12" s="1"/>
        <i x="13" s="1"/>
        <i x="14" s="1"/>
        <i x="15" s="1"/>
        <i x="16" s="1"/>
        <i x="17" s="1"/>
        <i x="18" s="1"/>
        <i x="19" s="1"/>
        <i x="20" s="1"/>
        <i x="21" s="1"/>
        <i x="22" s="1"/>
        <i x="23" s="1"/>
        <i x="2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E98A6004-A681-404C-AA03-24346836BF50}" cache="Slicer_year" caption="year" rowHeight="251883"/>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FE082-4130-4779-9595-66E8D49EEA82}">
  <dimension ref="A3:G19"/>
  <sheetViews>
    <sheetView workbookViewId="0">
      <selection activeCell="F15" sqref="F15"/>
    </sheetView>
  </sheetViews>
  <sheetFormatPr defaultRowHeight="14.5" x14ac:dyDescent="0.35"/>
  <cols>
    <col min="1" max="1" width="14.90625" bestFit="1" customWidth="1"/>
    <col min="2" max="2" width="17.08984375" bestFit="1" customWidth="1"/>
    <col min="3" max="3" width="23.54296875" bestFit="1" customWidth="1"/>
    <col min="4" max="4" width="16.7265625" bestFit="1" customWidth="1"/>
    <col min="5" max="5" width="10.7265625" bestFit="1" customWidth="1"/>
    <col min="6" max="6" width="14.90625" bestFit="1" customWidth="1"/>
    <col min="7" max="7" width="9.36328125" bestFit="1" customWidth="1"/>
    <col min="8" max="9" width="6.81640625" bestFit="1" customWidth="1"/>
    <col min="10" max="10" width="5.81640625" bestFit="1" customWidth="1"/>
    <col min="11" max="17" width="6.81640625" bestFit="1" customWidth="1"/>
    <col min="18" max="18" width="5.81640625" bestFit="1" customWidth="1"/>
    <col min="19" max="38" width="6.81640625" bestFit="1" customWidth="1"/>
    <col min="39" max="39" width="5.81640625" bestFit="1" customWidth="1"/>
    <col min="40" max="41" width="6.81640625" bestFit="1" customWidth="1"/>
    <col min="42" max="43" width="5.81640625" bestFit="1" customWidth="1"/>
    <col min="44" max="53" width="6.81640625" bestFit="1" customWidth="1"/>
    <col min="54" max="54" width="5.81640625" bestFit="1" customWidth="1"/>
    <col min="55" max="59" width="6.81640625" bestFit="1" customWidth="1"/>
    <col min="60" max="60" width="5.81640625" bestFit="1" customWidth="1"/>
    <col min="61" max="63" width="6.81640625" bestFit="1" customWidth="1"/>
    <col min="64" max="64" width="5.81640625" bestFit="1" customWidth="1"/>
    <col min="65" max="74" width="6.81640625" bestFit="1" customWidth="1"/>
    <col min="75" max="75" width="5.81640625" bestFit="1" customWidth="1"/>
    <col min="76" max="88" width="6.81640625" bestFit="1" customWidth="1"/>
    <col min="89" max="89" width="5.81640625" bestFit="1" customWidth="1"/>
    <col min="90" max="97" width="6.81640625" bestFit="1" customWidth="1"/>
    <col min="98" max="98" width="10.36328125" bestFit="1" customWidth="1"/>
  </cols>
  <sheetData>
    <row r="3" spans="1:7" x14ac:dyDescent="0.35">
      <c r="A3" s="1" t="s">
        <v>8</v>
      </c>
      <c r="B3" t="s">
        <v>12</v>
      </c>
      <c r="C3" t="s">
        <v>13</v>
      </c>
      <c r="D3" t="s">
        <v>14</v>
      </c>
      <c r="E3" t="s">
        <v>11</v>
      </c>
    </row>
    <row r="4" spans="1:7" x14ac:dyDescent="0.35">
      <c r="A4" s="2">
        <v>1</v>
      </c>
      <c r="B4" s="4">
        <v>496.00041666666675</v>
      </c>
      <c r="C4" s="4">
        <v>47.680416666666666</v>
      </c>
      <c r="D4" s="4">
        <v>624.00083333333339</v>
      </c>
      <c r="E4" s="3">
        <v>0.1</v>
      </c>
      <c r="F4" s="4"/>
      <c r="G4" s="5"/>
    </row>
    <row r="5" spans="1:7" x14ac:dyDescent="0.35">
      <c r="A5" s="2">
        <v>2</v>
      </c>
      <c r="B5" s="4">
        <v>404.00083333333345</v>
      </c>
      <c r="C5" s="4">
        <v>47.549583333333338</v>
      </c>
      <c r="D5" s="4">
        <v>395.99958333333331</v>
      </c>
    </row>
    <row r="6" spans="1:7" x14ac:dyDescent="0.35">
      <c r="A6" s="2">
        <v>3</v>
      </c>
      <c r="B6" s="4">
        <v>544.99958333333336</v>
      </c>
      <c r="C6" s="4">
        <v>56.49916666666666</v>
      </c>
      <c r="D6" s="4">
        <v>110.00000000000001</v>
      </c>
    </row>
    <row r="7" spans="1:7" x14ac:dyDescent="0.35">
      <c r="A7" s="2">
        <v>4</v>
      </c>
      <c r="B7" s="4">
        <v>453.00041666666669</v>
      </c>
      <c r="C7" s="4">
        <v>46.35</v>
      </c>
      <c r="D7" s="4">
        <v>508.99875000000003</v>
      </c>
    </row>
    <row r="8" spans="1:7" x14ac:dyDescent="0.35">
      <c r="A8" s="2" t="s">
        <v>9</v>
      </c>
      <c r="B8" s="4"/>
      <c r="C8" s="4"/>
      <c r="D8" s="4"/>
    </row>
    <row r="9" spans="1:7" x14ac:dyDescent="0.35">
      <c r="A9" s="2" t="s">
        <v>10</v>
      </c>
      <c r="B9" s="4">
        <v>474.50031250000006</v>
      </c>
      <c r="C9" s="4">
        <v>49.51979166666667</v>
      </c>
      <c r="D9" s="4">
        <v>409.74979166666645</v>
      </c>
    </row>
    <row r="11" spans="1:7" x14ac:dyDescent="0.35">
      <c r="A11" s="3"/>
    </row>
    <row r="13" spans="1:7" x14ac:dyDescent="0.35">
      <c r="A13" t="s">
        <v>8</v>
      </c>
      <c r="B13" t="s">
        <v>15</v>
      </c>
      <c r="C13" t="s">
        <v>17</v>
      </c>
      <c r="D13" t="s">
        <v>16</v>
      </c>
      <c r="E13" t="s">
        <v>11</v>
      </c>
    </row>
    <row r="14" spans="1:7" x14ac:dyDescent="0.35">
      <c r="A14" s="4">
        <v>1</v>
      </c>
      <c r="B14" s="4">
        <v>496.00041666666675</v>
      </c>
      <c r="C14" s="6">
        <v>47.680416666666666</v>
      </c>
      <c r="D14" s="4">
        <v>624.00083333333339</v>
      </c>
      <c r="E14" s="4">
        <f>D14*$E$4</f>
        <v>62.400083333333342</v>
      </c>
    </row>
    <row r="15" spans="1:7" x14ac:dyDescent="0.35">
      <c r="A15">
        <v>2</v>
      </c>
      <c r="B15" s="4">
        <v>404.00083333333345</v>
      </c>
      <c r="C15" s="6">
        <v>47.549583333333338</v>
      </c>
      <c r="D15" s="4">
        <v>395.99958333333331</v>
      </c>
      <c r="E15" s="4">
        <f>D15*$E$4</f>
        <v>39.599958333333333</v>
      </c>
    </row>
    <row r="16" spans="1:7" x14ac:dyDescent="0.35">
      <c r="A16">
        <v>3</v>
      </c>
      <c r="B16" s="4">
        <v>544.99958333333336</v>
      </c>
      <c r="C16" s="6">
        <v>56.49916666666666</v>
      </c>
      <c r="D16" s="4">
        <v>110.00000000000001</v>
      </c>
      <c r="E16" s="4">
        <f t="shared" ref="E16:E17" si="0">D16*$E$4</f>
        <v>11.000000000000002</v>
      </c>
    </row>
    <row r="17" spans="1:5" x14ac:dyDescent="0.35">
      <c r="A17">
        <v>4</v>
      </c>
      <c r="B17" s="4">
        <v>453.00041666666669</v>
      </c>
      <c r="C17" s="6">
        <v>46.35</v>
      </c>
      <c r="D17" s="4">
        <v>508.99875000000003</v>
      </c>
      <c r="E17" s="4">
        <f t="shared" si="0"/>
        <v>50.899875000000009</v>
      </c>
    </row>
    <row r="19" spans="1:5" x14ac:dyDescent="0.35">
      <c r="A19" t="s">
        <v>10</v>
      </c>
      <c r="B19" s="4">
        <v>474.50031250000006</v>
      </c>
      <c r="C19" s="4">
        <v>49.51979166666667</v>
      </c>
      <c r="D19" s="4">
        <v>409.74979166666645</v>
      </c>
    </row>
  </sheetData>
  <conditionalFormatting sqref="B14:B17">
    <cfRule type="colorScale" priority="2">
      <colorScale>
        <cfvo type="min"/>
        <cfvo type="percentile" val="50"/>
        <cfvo type="max"/>
        <color rgb="FFF8696B"/>
        <color rgb="FFFFEB84"/>
        <color rgb="FF63BE7B"/>
      </colorScale>
    </cfRule>
  </conditionalFormatting>
  <conditionalFormatting sqref="D14:D17">
    <cfRule type="colorScale" priority="1">
      <colorScale>
        <cfvo type="min"/>
        <cfvo type="percentile" val="50"/>
        <cfvo type="max"/>
        <color rgb="FF63BE7B"/>
        <color rgb="FFFFEB84"/>
        <color rgb="FFF8696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D64-98E2-40D2-B4EA-1F816A9EA842}">
  <dimension ref="A3:D29"/>
  <sheetViews>
    <sheetView tabSelected="1" zoomScale="70" zoomScaleNormal="70" workbookViewId="0">
      <selection activeCell="W9" sqref="W9"/>
    </sheetView>
  </sheetViews>
  <sheetFormatPr defaultRowHeight="14.5" x14ac:dyDescent="0.35"/>
  <cols>
    <col min="1" max="1" width="10.81640625" bestFit="1" customWidth="1"/>
    <col min="2" max="2" width="17.6328125" bestFit="1" customWidth="1"/>
    <col min="3" max="3" width="24.08984375" bestFit="1" customWidth="1"/>
    <col min="4" max="4" width="17.1796875" bestFit="1" customWidth="1"/>
  </cols>
  <sheetData>
    <row r="3" spans="1:4" x14ac:dyDescent="0.35">
      <c r="A3" s="1" t="s">
        <v>18</v>
      </c>
      <c r="B3" t="s">
        <v>12</v>
      </c>
      <c r="C3" t="s">
        <v>13</v>
      </c>
      <c r="D3" t="s">
        <v>14</v>
      </c>
    </row>
    <row r="4" spans="1:4" x14ac:dyDescent="0.35">
      <c r="A4" s="2">
        <v>2000</v>
      </c>
      <c r="B4" s="4">
        <v>496.03</v>
      </c>
      <c r="C4" s="7">
        <v>52.480000000000004</v>
      </c>
      <c r="D4" s="4">
        <v>464.86500000000001</v>
      </c>
    </row>
    <row r="5" spans="1:4" x14ac:dyDescent="0.35">
      <c r="A5" s="2">
        <v>2001</v>
      </c>
      <c r="B5" s="4">
        <v>468.63249999999994</v>
      </c>
      <c r="C5" s="7">
        <v>50.6875</v>
      </c>
      <c r="D5" s="4">
        <v>410.53</v>
      </c>
    </row>
    <row r="6" spans="1:4" x14ac:dyDescent="0.35">
      <c r="A6" s="2">
        <v>2002</v>
      </c>
      <c r="B6" s="4">
        <v>479.42500000000001</v>
      </c>
      <c r="C6" s="7">
        <v>46.712499999999999</v>
      </c>
      <c r="D6" s="4">
        <v>388.09249999999997</v>
      </c>
    </row>
    <row r="7" spans="1:4" x14ac:dyDescent="0.35">
      <c r="A7" s="2">
        <v>2003</v>
      </c>
      <c r="B7" s="4">
        <v>495.79</v>
      </c>
      <c r="C7" s="7">
        <v>45.355000000000004</v>
      </c>
      <c r="D7" s="4">
        <v>438.85249999999996</v>
      </c>
    </row>
    <row r="8" spans="1:4" x14ac:dyDescent="0.35">
      <c r="A8" s="2">
        <v>2004</v>
      </c>
      <c r="B8" s="4">
        <v>495.84999999999997</v>
      </c>
      <c r="C8" s="7">
        <v>50.92</v>
      </c>
      <c r="D8" s="4">
        <v>495.09249999999997</v>
      </c>
    </row>
    <row r="9" spans="1:4" x14ac:dyDescent="0.35">
      <c r="A9" s="2">
        <v>2005</v>
      </c>
      <c r="B9" s="4">
        <v>441.90250000000003</v>
      </c>
      <c r="C9" s="7">
        <v>48.902499999999996</v>
      </c>
      <c r="D9" s="4">
        <v>421.24</v>
      </c>
    </row>
    <row r="10" spans="1:4" x14ac:dyDescent="0.35">
      <c r="A10" s="2">
        <v>2006</v>
      </c>
      <c r="B10" s="4">
        <v>478.09749999999997</v>
      </c>
      <c r="C10" s="7">
        <v>44.097500000000004</v>
      </c>
      <c r="D10" s="4">
        <v>544.75499999999988</v>
      </c>
    </row>
    <row r="11" spans="1:4" x14ac:dyDescent="0.35">
      <c r="A11" s="2">
        <v>2007</v>
      </c>
      <c r="B11" s="4">
        <v>489.435</v>
      </c>
      <c r="C11" s="7">
        <v>50.477499999999999</v>
      </c>
      <c r="D11" s="4">
        <v>455.33250000000004</v>
      </c>
    </row>
    <row r="12" spans="1:4" x14ac:dyDescent="0.35">
      <c r="A12" s="2">
        <v>2008</v>
      </c>
      <c r="B12" s="4">
        <v>492.09000000000003</v>
      </c>
      <c r="C12" s="7">
        <v>47.185000000000002</v>
      </c>
      <c r="D12" s="4">
        <v>350.56500000000005</v>
      </c>
    </row>
    <row r="13" spans="1:4" x14ac:dyDescent="0.35">
      <c r="A13" s="2">
        <v>2009</v>
      </c>
      <c r="B13" s="4">
        <v>460.39750000000004</v>
      </c>
      <c r="C13" s="7">
        <v>47.532499999999999</v>
      </c>
      <c r="D13" s="4">
        <v>396.935</v>
      </c>
    </row>
    <row r="14" spans="1:4" x14ac:dyDescent="0.35">
      <c r="A14" s="2">
        <v>2010</v>
      </c>
      <c r="B14" s="4">
        <v>501.42249999999996</v>
      </c>
      <c r="C14" s="7">
        <v>51.415000000000006</v>
      </c>
      <c r="D14" s="4">
        <v>444.50250000000005</v>
      </c>
    </row>
    <row r="15" spans="1:4" x14ac:dyDescent="0.35">
      <c r="A15" s="2">
        <v>2011</v>
      </c>
      <c r="B15" s="4">
        <v>464.97</v>
      </c>
      <c r="C15" s="7">
        <v>49.01</v>
      </c>
      <c r="D15" s="4">
        <v>403.91750000000002</v>
      </c>
    </row>
    <row r="16" spans="1:4" x14ac:dyDescent="0.35">
      <c r="A16" s="2">
        <v>2012</v>
      </c>
      <c r="B16" s="4">
        <v>477.08249999999998</v>
      </c>
      <c r="C16" s="7">
        <v>47.564999999999998</v>
      </c>
      <c r="D16" s="4">
        <v>410.44750000000005</v>
      </c>
    </row>
    <row r="17" spans="1:4" x14ac:dyDescent="0.35">
      <c r="A17" s="2">
        <v>2013</v>
      </c>
      <c r="B17" s="4">
        <v>484.57749999999999</v>
      </c>
      <c r="C17" s="7">
        <v>47.057500000000005</v>
      </c>
      <c r="D17" s="4">
        <v>417.3175</v>
      </c>
    </row>
    <row r="18" spans="1:4" x14ac:dyDescent="0.35">
      <c r="A18" s="2">
        <v>2014</v>
      </c>
      <c r="B18" s="4">
        <v>509.52499999999998</v>
      </c>
      <c r="C18" s="7">
        <v>48.614999999999995</v>
      </c>
      <c r="D18" s="4">
        <v>443.85</v>
      </c>
    </row>
    <row r="19" spans="1:4" x14ac:dyDescent="0.35">
      <c r="A19" s="2">
        <v>2015</v>
      </c>
      <c r="B19" s="4">
        <v>450.27</v>
      </c>
      <c r="C19" s="7">
        <v>51.07</v>
      </c>
      <c r="D19" s="4">
        <v>404.73500000000001</v>
      </c>
    </row>
    <row r="20" spans="1:4" x14ac:dyDescent="0.35">
      <c r="A20" s="2">
        <v>2016</v>
      </c>
      <c r="B20" s="4">
        <v>453.73999999999995</v>
      </c>
      <c r="C20" s="7">
        <v>44.162500000000001</v>
      </c>
      <c r="D20" s="4">
        <v>398.04</v>
      </c>
    </row>
    <row r="21" spans="1:4" x14ac:dyDescent="0.35">
      <c r="A21" s="2">
        <v>2017</v>
      </c>
      <c r="B21" s="4">
        <v>447.19749999999999</v>
      </c>
      <c r="C21" s="7">
        <v>54.534999999999997</v>
      </c>
      <c r="D21" s="4">
        <v>379.47749999999996</v>
      </c>
    </row>
    <row r="22" spans="1:4" x14ac:dyDescent="0.35">
      <c r="A22" s="2">
        <v>2018</v>
      </c>
      <c r="B22" s="4">
        <v>486.52750000000003</v>
      </c>
      <c r="C22" s="7">
        <v>53.732500000000002</v>
      </c>
      <c r="D22" s="4">
        <v>268.66500000000002</v>
      </c>
    </row>
    <row r="23" spans="1:4" x14ac:dyDescent="0.35">
      <c r="A23" s="2">
        <v>2019</v>
      </c>
      <c r="B23" s="4">
        <v>486.44749999999999</v>
      </c>
      <c r="C23" s="7">
        <v>51.372500000000002</v>
      </c>
      <c r="D23" s="4">
        <v>306.58499999999998</v>
      </c>
    </row>
    <row r="24" spans="1:4" x14ac:dyDescent="0.35">
      <c r="A24" s="2">
        <v>2020</v>
      </c>
      <c r="B24" s="4">
        <v>488.41750000000002</v>
      </c>
      <c r="C24" s="7">
        <v>51.125</v>
      </c>
      <c r="D24" s="4">
        <v>366.95249999999999</v>
      </c>
    </row>
    <row r="25" spans="1:4" x14ac:dyDescent="0.35">
      <c r="A25" s="2">
        <v>2021</v>
      </c>
      <c r="B25" s="4">
        <v>430.58249999999998</v>
      </c>
      <c r="C25" s="7">
        <v>55.339999999999996</v>
      </c>
      <c r="D25" s="4">
        <v>379.3175</v>
      </c>
    </row>
    <row r="26" spans="1:4" x14ac:dyDescent="0.35">
      <c r="A26" s="2">
        <v>2022</v>
      </c>
      <c r="B26" s="4">
        <v>438.51499999999999</v>
      </c>
      <c r="C26" s="7">
        <v>49.077500000000001</v>
      </c>
      <c r="D26" s="4">
        <v>491.84499999999997</v>
      </c>
    </row>
    <row r="27" spans="1:4" x14ac:dyDescent="0.35">
      <c r="A27" s="2">
        <v>2023</v>
      </c>
      <c r="B27" s="4">
        <v>471.08249999999998</v>
      </c>
      <c r="C27" s="7">
        <v>50.047499999999999</v>
      </c>
      <c r="D27" s="4">
        <v>352.08250000000004</v>
      </c>
    </row>
    <row r="28" spans="1:4" x14ac:dyDescent="0.35">
      <c r="A28" s="2" t="s">
        <v>9</v>
      </c>
      <c r="B28" s="4"/>
      <c r="C28" s="7"/>
      <c r="D28" s="4"/>
    </row>
    <row r="29" spans="1:4" x14ac:dyDescent="0.35">
      <c r="A29" s="2" t="s">
        <v>10</v>
      </c>
      <c r="B29" s="4">
        <v>474.50031249999989</v>
      </c>
      <c r="C29" s="7">
        <v>49.519791666666684</v>
      </c>
      <c r="D29" s="4">
        <v>409.74979166666662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4C047-CF56-466B-A733-415DF2C723A0}">
  <dimension ref="A1:I97"/>
  <sheetViews>
    <sheetView topLeftCell="B1" workbookViewId="0">
      <selection activeCell="G18" sqref="G18"/>
    </sheetView>
  </sheetViews>
  <sheetFormatPr defaultRowHeight="14.5" x14ac:dyDescent="0.35"/>
  <cols>
    <col min="5" max="5" width="14" bestFit="1" customWidth="1"/>
    <col min="7" max="7" width="15.26953125" bestFit="1" customWidth="1"/>
    <col min="8" max="8" width="9.26953125" bestFit="1" customWidth="1"/>
    <col min="9" max="9" width="14.54296875" bestFit="1" customWidth="1"/>
  </cols>
  <sheetData>
    <row r="1" spans="1:9" x14ac:dyDescent="0.35">
      <c r="A1" t="s">
        <v>0</v>
      </c>
      <c r="B1" t="s">
        <v>1</v>
      </c>
      <c r="C1" t="s">
        <v>2</v>
      </c>
      <c r="D1" t="s">
        <v>3</v>
      </c>
      <c r="E1" t="s">
        <v>4</v>
      </c>
      <c r="G1" t="s">
        <v>5</v>
      </c>
      <c r="H1" t="s">
        <v>6</v>
      </c>
      <c r="I1" t="s">
        <v>7</v>
      </c>
    </row>
    <row r="2" spans="1:9" x14ac:dyDescent="0.35">
      <c r="A2">
        <v>2000</v>
      </c>
      <c r="B2">
        <v>1</v>
      </c>
      <c r="C2">
        <v>686.16</v>
      </c>
      <c r="D2">
        <v>924.29</v>
      </c>
      <c r="E2">
        <v>72.260000000000005</v>
      </c>
      <c r="G2">
        <v>200</v>
      </c>
      <c r="H2">
        <v>1.68</v>
      </c>
      <c r="I2">
        <v>0.1</v>
      </c>
    </row>
    <row r="3" spans="1:9" x14ac:dyDescent="0.35">
      <c r="A3">
        <v>2000</v>
      </c>
      <c r="B3">
        <v>2</v>
      </c>
      <c r="C3">
        <v>306.8</v>
      </c>
      <c r="D3">
        <v>374.82</v>
      </c>
      <c r="E3">
        <v>60.27</v>
      </c>
    </row>
    <row r="4" spans="1:9" x14ac:dyDescent="0.35">
      <c r="A4">
        <v>2000</v>
      </c>
      <c r="B4">
        <v>3</v>
      </c>
      <c r="C4">
        <v>651.01</v>
      </c>
      <c r="D4">
        <v>118.75</v>
      </c>
      <c r="E4">
        <v>43.84</v>
      </c>
    </row>
    <row r="5" spans="1:9" x14ac:dyDescent="0.35">
      <c r="A5">
        <v>2000</v>
      </c>
      <c r="B5">
        <v>4</v>
      </c>
      <c r="C5">
        <v>340.15</v>
      </c>
      <c r="D5">
        <v>441.6</v>
      </c>
      <c r="E5">
        <v>33.549999999999997</v>
      </c>
    </row>
    <row r="6" spans="1:9" x14ac:dyDescent="0.35">
      <c r="A6">
        <v>2001</v>
      </c>
      <c r="B6">
        <v>1</v>
      </c>
      <c r="C6">
        <v>581.96</v>
      </c>
      <c r="D6">
        <v>504.17</v>
      </c>
      <c r="E6">
        <v>63.87</v>
      </c>
    </row>
    <row r="7" spans="1:9" x14ac:dyDescent="0.35">
      <c r="A7">
        <v>2001</v>
      </c>
      <c r="B7">
        <v>2</v>
      </c>
      <c r="C7">
        <v>348.64</v>
      </c>
      <c r="D7">
        <v>650.05999999999995</v>
      </c>
      <c r="E7">
        <v>57.88</v>
      </c>
    </row>
    <row r="8" spans="1:9" x14ac:dyDescent="0.35">
      <c r="A8">
        <v>2001</v>
      </c>
      <c r="B8">
        <v>3</v>
      </c>
      <c r="C8">
        <v>581.79</v>
      </c>
      <c r="D8">
        <v>117.86</v>
      </c>
      <c r="E8">
        <v>45.42</v>
      </c>
    </row>
    <row r="9" spans="1:9" x14ac:dyDescent="0.35">
      <c r="A9">
        <v>2001</v>
      </c>
      <c r="B9">
        <v>4</v>
      </c>
      <c r="C9">
        <v>362.14</v>
      </c>
      <c r="D9">
        <v>370.03</v>
      </c>
      <c r="E9">
        <v>35.58</v>
      </c>
    </row>
    <row r="10" spans="1:9" x14ac:dyDescent="0.35">
      <c r="A10">
        <v>2002</v>
      </c>
      <c r="B10">
        <v>1</v>
      </c>
      <c r="C10">
        <v>457.61</v>
      </c>
      <c r="D10">
        <v>648.30999999999995</v>
      </c>
      <c r="E10">
        <v>50.96</v>
      </c>
    </row>
    <row r="11" spans="1:9" x14ac:dyDescent="0.35">
      <c r="A11">
        <v>2002</v>
      </c>
      <c r="B11">
        <v>2</v>
      </c>
      <c r="C11">
        <v>337.72</v>
      </c>
      <c r="D11">
        <v>437.8</v>
      </c>
      <c r="E11">
        <v>53.05</v>
      </c>
    </row>
    <row r="12" spans="1:9" x14ac:dyDescent="0.35">
      <c r="A12">
        <v>2002</v>
      </c>
      <c r="B12">
        <v>3</v>
      </c>
      <c r="C12">
        <v>727.63</v>
      </c>
      <c r="D12">
        <v>137.96</v>
      </c>
      <c r="E12">
        <v>44.22</v>
      </c>
    </row>
    <row r="13" spans="1:9" x14ac:dyDescent="0.35">
      <c r="A13">
        <v>2002</v>
      </c>
      <c r="B13">
        <v>4</v>
      </c>
      <c r="C13">
        <v>394.74</v>
      </c>
      <c r="D13">
        <v>328.3</v>
      </c>
      <c r="E13">
        <v>38.619999999999997</v>
      </c>
    </row>
    <row r="14" spans="1:9" x14ac:dyDescent="0.35">
      <c r="A14">
        <v>2003</v>
      </c>
      <c r="B14">
        <v>1</v>
      </c>
      <c r="C14">
        <v>606.08000000000004</v>
      </c>
      <c r="D14">
        <v>826.93</v>
      </c>
      <c r="E14">
        <v>49.83</v>
      </c>
    </row>
    <row r="15" spans="1:9" x14ac:dyDescent="0.35">
      <c r="A15">
        <v>2003</v>
      </c>
      <c r="B15">
        <v>2</v>
      </c>
      <c r="C15">
        <v>305.12</v>
      </c>
      <c r="D15">
        <v>394.78</v>
      </c>
      <c r="E15">
        <v>49.06</v>
      </c>
    </row>
    <row r="16" spans="1:9" x14ac:dyDescent="0.35">
      <c r="A16">
        <v>2003</v>
      </c>
      <c r="B16">
        <v>3</v>
      </c>
      <c r="C16">
        <v>733.27</v>
      </c>
      <c r="D16">
        <v>127.57</v>
      </c>
      <c r="E16">
        <v>41.51</v>
      </c>
    </row>
    <row r="17" spans="1:5" x14ac:dyDescent="0.35">
      <c r="A17">
        <v>2003</v>
      </c>
      <c r="B17">
        <v>4</v>
      </c>
      <c r="C17">
        <v>338.69</v>
      </c>
      <c r="D17">
        <v>406.13</v>
      </c>
      <c r="E17">
        <v>41.02</v>
      </c>
    </row>
    <row r="18" spans="1:5" x14ac:dyDescent="0.35">
      <c r="A18">
        <v>2004</v>
      </c>
      <c r="B18">
        <v>1</v>
      </c>
      <c r="C18">
        <v>587.44000000000005</v>
      </c>
      <c r="D18">
        <v>781.08</v>
      </c>
      <c r="E18">
        <v>56.99</v>
      </c>
    </row>
    <row r="19" spans="1:5" x14ac:dyDescent="0.35">
      <c r="A19">
        <v>2004</v>
      </c>
      <c r="B19">
        <v>2</v>
      </c>
      <c r="C19">
        <v>339.78</v>
      </c>
      <c r="D19">
        <v>552.04999999999995</v>
      </c>
      <c r="E19">
        <v>57.39</v>
      </c>
    </row>
    <row r="20" spans="1:5" x14ac:dyDescent="0.35">
      <c r="A20">
        <v>2004</v>
      </c>
      <c r="B20">
        <v>3</v>
      </c>
      <c r="C20">
        <v>709.38</v>
      </c>
      <c r="D20">
        <v>168.39</v>
      </c>
      <c r="E20">
        <v>49.78</v>
      </c>
    </row>
    <row r="21" spans="1:5" x14ac:dyDescent="0.35">
      <c r="A21">
        <v>2004</v>
      </c>
      <c r="B21">
        <v>4</v>
      </c>
      <c r="C21">
        <v>346.8</v>
      </c>
      <c r="D21">
        <v>478.85</v>
      </c>
      <c r="E21">
        <v>39.520000000000003</v>
      </c>
    </row>
    <row r="22" spans="1:5" x14ac:dyDescent="0.35">
      <c r="A22">
        <v>2005</v>
      </c>
      <c r="B22">
        <v>1</v>
      </c>
      <c r="C22">
        <v>472.59</v>
      </c>
      <c r="D22">
        <v>641.99</v>
      </c>
      <c r="E22">
        <v>57.08</v>
      </c>
    </row>
    <row r="23" spans="1:5" x14ac:dyDescent="0.35">
      <c r="A23">
        <v>2005</v>
      </c>
      <c r="B23">
        <v>2</v>
      </c>
      <c r="C23">
        <v>294.93</v>
      </c>
      <c r="D23">
        <v>450.35</v>
      </c>
      <c r="E23">
        <v>52.42</v>
      </c>
    </row>
    <row r="24" spans="1:5" x14ac:dyDescent="0.35">
      <c r="A24">
        <v>2005</v>
      </c>
      <c r="B24">
        <v>3</v>
      </c>
      <c r="C24">
        <v>635.71</v>
      </c>
      <c r="D24">
        <v>121.52</v>
      </c>
      <c r="E24">
        <v>45.2</v>
      </c>
    </row>
    <row r="25" spans="1:5" x14ac:dyDescent="0.35">
      <c r="A25">
        <v>2005</v>
      </c>
      <c r="B25">
        <v>4</v>
      </c>
      <c r="C25">
        <v>364.38</v>
      </c>
      <c r="D25">
        <v>471.1</v>
      </c>
      <c r="E25">
        <v>40.909999999999997</v>
      </c>
    </row>
    <row r="26" spans="1:5" x14ac:dyDescent="0.35">
      <c r="A26">
        <v>2006</v>
      </c>
      <c r="B26">
        <v>1</v>
      </c>
      <c r="C26">
        <v>620.87</v>
      </c>
      <c r="D26">
        <v>1033.58</v>
      </c>
      <c r="E26">
        <v>48.61</v>
      </c>
    </row>
    <row r="27" spans="1:5" x14ac:dyDescent="0.35">
      <c r="A27">
        <v>2006</v>
      </c>
      <c r="B27">
        <v>2</v>
      </c>
      <c r="C27">
        <v>316.39999999999998</v>
      </c>
      <c r="D27">
        <v>541.91</v>
      </c>
      <c r="E27">
        <v>46</v>
      </c>
    </row>
    <row r="28" spans="1:5" x14ac:dyDescent="0.35">
      <c r="A28">
        <v>2006</v>
      </c>
      <c r="B28">
        <v>3</v>
      </c>
      <c r="C28">
        <v>587.75</v>
      </c>
      <c r="D28">
        <v>107.29</v>
      </c>
      <c r="E28">
        <v>51.31</v>
      </c>
    </row>
    <row r="29" spans="1:5" x14ac:dyDescent="0.35">
      <c r="A29">
        <v>2006</v>
      </c>
      <c r="B29">
        <v>4</v>
      </c>
      <c r="C29">
        <v>387.37</v>
      </c>
      <c r="D29">
        <v>496.24</v>
      </c>
      <c r="E29">
        <v>30.47</v>
      </c>
    </row>
    <row r="30" spans="1:5" x14ac:dyDescent="0.35">
      <c r="A30">
        <v>2007</v>
      </c>
      <c r="B30">
        <v>1</v>
      </c>
      <c r="C30">
        <v>508.61</v>
      </c>
      <c r="D30">
        <v>727.76</v>
      </c>
      <c r="E30">
        <v>60.48</v>
      </c>
    </row>
    <row r="31" spans="1:5" x14ac:dyDescent="0.35">
      <c r="A31">
        <v>2007</v>
      </c>
      <c r="B31">
        <v>2</v>
      </c>
      <c r="C31">
        <v>386.86</v>
      </c>
      <c r="D31">
        <v>446.76</v>
      </c>
      <c r="E31">
        <v>60.94</v>
      </c>
    </row>
    <row r="32" spans="1:5" x14ac:dyDescent="0.35">
      <c r="A32">
        <v>2007</v>
      </c>
      <c r="B32">
        <v>3</v>
      </c>
      <c r="C32">
        <v>631.70000000000005</v>
      </c>
      <c r="D32">
        <v>147.61000000000001</v>
      </c>
      <c r="E32">
        <v>41.22</v>
      </c>
    </row>
    <row r="33" spans="1:5" x14ac:dyDescent="0.35">
      <c r="A33">
        <v>2007</v>
      </c>
      <c r="B33">
        <v>4</v>
      </c>
      <c r="C33">
        <v>430.57</v>
      </c>
      <c r="D33">
        <v>499.2</v>
      </c>
      <c r="E33">
        <v>39.270000000000003</v>
      </c>
    </row>
    <row r="34" spans="1:5" x14ac:dyDescent="0.35">
      <c r="A34">
        <v>2008</v>
      </c>
      <c r="B34">
        <v>1</v>
      </c>
      <c r="C34">
        <v>498.99</v>
      </c>
      <c r="D34">
        <v>650.99</v>
      </c>
      <c r="E34">
        <v>49.21</v>
      </c>
    </row>
    <row r="35" spans="1:5" x14ac:dyDescent="0.35">
      <c r="A35">
        <v>2008</v>
      </c>
      <c r="B35">
        <v>2</v>
      </c>
      <c r="C35">
        <v>410.15</v>
      </c>
      <c r="D35">
        <v>228.93</v>
      </c>
      <c r="E35">
        <v>48.56</v>
      </c>
    </row>
    <row r="36" spans="1:5" x14ac:dyDescent="0.35">
      <c r="A36">
        <v>2008</v>
      </c>
      <c r="B36">
        <v>3</v>
      </c>
      <c r="C36">
        <v>608.34</v>
      </c>
      <c r="D36">
        <v>124.74</v>
      </c>
      <c r="E36">
        <v>49</v>
      </c>
    </row>
    <row r="37" spans="1:5" x14ac:dyDescent="0.35">
      <c r="A37">
        <v>2008</v>
      </c>
      <c r="B37">
        <v>4</v>
      </c>
      <c r="C37">
        <v>450.88</v>
      </c>
      <c r="D37">
        <v>397.6</v>
      </c>
      <c r="E37">
        <v>41.97</v>
      </c>
    </row>
    <row r="38" spans="1:5" x14ac:dyDescent="0.35">
      <c r="A38">
        <v>2009</v>
      </c>
      <c r="B38">
        <v>1</v>
      </c>
      <c r="C38">
        <v>486.39</v>
      </c>
      <c r="D38">
        <v>475.87</v>
      </c>
      <c r="E38">
        <v>45.03</v>
      </c>
    </row>
    <row r="39" spans="1:5" x14ac:dyDescent="0.35">
      <c r="A39">
        <v>2009</v>
      </c>
      <c r="B39">
        <v>2</v>
      </c>
      <c r="C39">
        <v>370.6</v>
      </c>
      <c r="D39">
        <v>421.42</v>
      </c>
      <c r="E39">
        <v>56.88</v>
      </c>
    </row>
    <row r="40" spans="1:5" x14ac:dyDescent="0.35">
      <c r="A40">
        <v>2009</v>
      </c>
      <c r="B40">
        <v>3</v>
      </c>
      <c r="C40">
        <v>566.12</v>
      </c>
      <c r="D40">
        <v>116.35</v>
      </c>
      <c r="E40">
        <v>48.6</v>
      </c>
    </row>
    <row r="41" spans="1:5" x14ac:dyDescent="0.35">
      <c r="A41">
        <v>2009</v>
      </c>
      <c r="B41">
        <v>4</v>
      </c>
      <c r="C41">
        <v>418.48</v>
      </c>
      <c r="D41">
        <v>574.1</v>
      </c>
      <c r="E41">
        <v>39.619999999999997</v>
      </c>
    </row>
    <row r="42" spans="1:5" x14ac:dyDescent="0.35">
      <c r="A42">
        <v>2010</v>
      </c>
      <c r="B42">
        <v>1</v>
      </c>
      <c r="C42">
        <v>660.04</v>
      </c>
      <c r="D42">
        <v>683</v>
      </c>
      <c r="E42">
        <v>50.34</v>
      </c>
    </row>
    <row r="43" spans="1:5" x14ac:dyDescent="0.35">
      <c r="A43">
        <v>2010</v>
      </c>
      <c r="B43">
        <v>2</v>
      </c>
      <c r="C43">
        <v>400.58</v>
      </c>
      <c r="D43">
        <v>345.26</v>
      </c>
      <c r="E43">
        <v>52.85</v>
      </c>
    </row>
    <row r="44" spans="1:5" x14ac:dyDescent="0.35">
      <c r="A44">
        <v>2010</v>
      </c>
      <c r="B44">
        <v>3</v>
      </c>
      <c r="C44">
        <v>526.23</v>
      </c>
      <c r="D44">
        <v>122.89</v>
      </c>
      <c r="E44">
        <v>53.17</v>
      </c>
    </row>
    <row r="45" spans="1:5" x14ac:dyDescent="0.35">
      <c r="A45">
        <v>2010</v>
      </c>
      <c r="B45">
        <v>4</v>
      </c>
      <c r="C45">
        <v>418.84</v>
      </c>
      <c r="D45">
        <v>626.86</v>
      </c>
      <c r="E45">
        <v>49.3</v>
      </c>
    </row>
    <row r="46" spans="1:5" x14ac:dyDescent="0.35">
      <c r="A46">
        <v>2011</v>
      </c>
      <c r="B46">
        <v>1</v>
      </c>
      <c r="C46">
        <v>442.96</v>
      </c>
      <c r="D46">
        <v>535.88</v>
      </c>
      <c r="E46">
        <v>47.3</v>
      </c>
    </row>
    <row r="47" spans="1:5" x14ac:dyDescent="0.35">
      <c r="A47">
        <v>2011</v>
      </c>
      <c r="B47">
        <v>2</v>
      </c>
      <c r="C47">
        <v>404.53</v>
      </c>
      <c r="D47">
        <v>357.34</v>
      </c>
      <c r="E47">
        <v>42.9</v>
      </c>
    </row>
    <row r="48" spans="1:5" x14ac:dyDescent="0.35">
      <c r="A48">
        <v>2011</v>
      </c>
      <c r="B48">
        <v>3</v>
      </c>
      <c r="C48">
        <v>580.72</v>
      </c>
      <c r="D48">
        <v>101.95</v>
      </c>
      <c r="E48">
        <v>60.43</v>
      </c>
    </row>
    <row r="49" spans="1:5" x14ac:dyDescent="0.35">
      <c r="A49">
        <v>2011</v>
      </c>
      <c r="B49">
        <v>4</v>
      </c>
      <c r="C49">
        <v>431.67</v>
      </c>
      <c r="D49">
        <v>620.5</v>
      </c>
      <c r="E49">
        <v>45.41</v>
      </c>
    </row>
    <row r="50" spans="1:5" x14ac:dyDescent="0.35">
      <c r="A50">
        <v>2012</v>
      </c>
      <c r="B50">
        <v>1</v>
      </c>
      <c r="C50">
        <v>520.30999999999995</v>
      </c>
      <c r="D50">
        <v>619.4</v>
      </c>
      <c r="E50">
        <v>47.79</v>
      </c>
    </row>
    <row r="51" spans="1:5" x14ac:dyDescent="0.35">
      <c r="A51">
        <v>2012</v>
      </c>
      <c r="B51">
        <v>2</v>
      </c>
      <c r="C51">
        <v>411.27</v>
      </c>
      <c r="D51">
        <v>474.52</v>
      </c>
      <c r="E51">
        <v>39.79</v>
      </c>
    </row>
    <row r="52" spans="1:5" x14ac:dyDescent="0.35">
      <c r="A52">
        <v>2012</v>
      </c>
      <c r="B52">
        <v>3</v>
      </c>
      <c r="C52">
        <v>536.35</v>
      </c>
      <c r="D52">
        <v>75.89</v>
      </c>
      <c r="E52">
        <v>55.11</v>
      </c>
    </row>
    <row r="53" spans="1:5" x14ac:dyDescent="0.35">
      <c r="A53">
        <v>2012</v>
      </c>
      <c r="B53">
        <v>4</v>
      </c>
      <c r="C53">
        <v>440.4</v>
      </c>
      <c r="D53">
        <v>471.98</v>
      </c>
      <c r="E53">
        <v>47.57</v>
      </c>
    </row>
    <row r="54" spans="1:5" x14ac:dyDescent="0.35">
      <c r="A54">
        <v>2013</v>
      </c>
      <c r="B54">
        <v>1</v>
      </c>
      <c r="C54">
        <v>424.81</v>
      </c>
      <c r="D54">
        <v>588.16999999999996</v>
      </c>
      <c r="E54">
        <v>43.29</v>
      </c>
    </row>
    <row r="55" spans="1:5" x14ac:dyDescent="0.35">
      <c r="A55">
        <v>2013</v>
      </c>
      <c r="B55">
        <v>2</v>
      </c>
      <c r="C55">
        <v>441.7</v>
      </c>
      <c r="D55">
        <v>366.87</v>
      </c>
      <c r="E55">
        <v>48.94</v>
      </c>
    </row>
    <row r="56" spans="1:5" x14ac:dyDescent="0.35">
      <c r="A56">
        <v>2013</v>
      </c>
      <c r="B56">
        <v>3</v>
      </c>
      <c r="C56">
        <v>576.91</v>
      </c>
      <c r="D56">
        <v>155.53</v>
      </c>
      <c r="E56">
        <v>50.08</v>
      </c>
    </row>
    <row r="57" spans="1:5" x14ac:dyDescent="0.35">
      <c r="A57">
        <v>2013</v>
      </c>
      <c r="B57">
        <v>4</v>
      </c>
      <c r="C57">
        <v>494.89</v>
      </c>
      <c r="D57">
        <v>558.70000000000005</v>
      </c>
      <c r="E57">
        <v>45.92</v>
      </c>
    </row>
    <row r="58" spans="1:5" x14ac:dyDescent="0.35">
      <c r="A58">
        <v>2014</v>
      </c>
      <c r="B58">
        <v>1</v>
      </c>
      <c r="C58">
        <v>506.3</v>
      </c>
      <c r="D58">
        <v>731.36</v>
      </c>
      <c r="E58">
        <v>37.58</v>
      </c>
    </row>
    <row r="59" spans="1:5" x14ac:dyDescent="0.35">
      <c r="A59">
        <v>2014</v>
      </c>
      <c r="B59">
        <v>2</v>
      </c>
      <c r="C59">
        <v>481.9</v>
      </c>
      <c r="D59">
        <v>370.55</v>
      </c>
      <c r="E59">
        <v>50.72</v>
      </c>
    </row>
    <row r="60" spans="1:5" x14ac:dyDescent="0.35">
      <c r="A60">
        <v>2014</v>
      </c>
      <c r="B60">
        <v>3</v>
      </c>
      <c r="C60">
        <v>507.01</v>
      </c>
      <c r="D60">
        <v>68.959999999999994</v>
      </c>
      <c r="E60">
        <v>60.8</v>
      </c>
    </row>
    <row r="61" spans="1:5" x14ac:dyDescent="0.35">
      <c r="A61">
        <v>2014</v>
      </c>
      <c r="B61">
        <v>4</v>
      </c>
      <c r="C61">
        <v>542.89</v>
      </c>
      <c r="D61">
        <v>604.53</v>
      </c>
      <c r="E61">
        <v>45.36</v>
      </c>
    </row>
    <row r="62" spans="1:5" x14ac:dyDescent="0.35">
      <c r="A62">
        <v>2015</v>
      </c>
      <c r="B62">
        <v>1</v>
      </c>
      <c r="C62">
        <v>418.48</v>
      </c>
      <c r="D62">
        <v>659.7</v>
      </c>
      <c r="E62">
        <v>47.18</v>
      </c>
    </row>
    <row r="63" spans="1:5" x14ac:dyDescent="0.35">
      <c r="A63">
        <v>2015</v>
      </c>
      <c r="B63">
        <v>2</v>
      </c>
      <c r="C63">
        <v>383.51</v>
      </c>
      <c r="D63">
        <v>453.54</v>
      </c>
      <c r="E63">
        <v>41.71</v>
      </c>
    </row>
    <row r="64" spans="1:5" x14ac:dyDescent="0.35">
      <c r="A64">
        <v>2015</v>
      </c>
      <c r="B64">
        <v>3</v>
      </c>
      <c r="C64">
        <v>513.46</v>
      </c>
      <c r="D64">
        <v>112.73</v>
      </c>
      <c r="E64">
        <v>63.58</v>
      </c>
    </row>
    <row r="65" spans="1:5" x14ac:dyDescent="0.35">
      <c r="A65">
        <v>2015</v>
      </c>
      <c r="B65">
        <v>4</v>
      </c>
      <c r="C65">
        <v>485.63</v>
      </c>
      <c r="D65">
        <v>392.97</v>
      </c>
      <c r="E65">
        <v>51.81</v>
      </c>
    </row>
    <row r="66" spans="1:5" x14ac:dyDescent="0.35">
      <c r="A66">
        <v>2016</v>
      </c>
      <c r="B66">
        <v>1</v>
      </c>
      <c r="C66">
        <v>470.32</v>
      </c>
      <c r="D66">
        <v>527.08000000000004</v>
      </c>
      <c r="E66">
        <v>31.21</v>
      </c>
    </row>
    <row r="67" spans="1:5" x14ac:dyDescent="0.35">
      <c r="A67">
        <v>2016</v>
      </c>
      <c r="B67">
        <v>2</v>
      </c>
      <c r="C67">
        <v>455.22</v>
      </c>
      <c r="D67">
        <v>465.16</v>
      </c>
      <c r="E67">
        <v>44.89</v>
      </c>
    </row>
    <row r="68" spans="1:5" x14ac:dyDescent="0.35">
      <c r="A68">
        <v>2016</v>
      </c>
      <c r="B68">
        <v>3</v>
      </c>
      <c r="C68">
        <v>485.35</v>
      </c>
      <c r="D68">
        <v>102.2</v>
      </c>
      <c r="E68">
        <v>61.74</v>
      </c>
    </row>
    <row r="69" spans="1:5" x14ac:dyDescent="0.35">
      <c r="A69">
        <v>2016</v>
      </c>
      <c r="B69">
        <v>4</v>
      </c>
      <c r="C69">
        <v>404.07</v>
      </c>
      <c r="D69">
        <v>497.72</v>
      </c>
      <c r="E69">
        <v>38.81</v>
      </c>
    </row>
    <row r="70" spans="1:5" x14ac:dyDescent="0.35">
      <c r="A70">
        <v>2017</v>
      </c>
      <c r="B70">
        <v>1</v>
      </c>
      <c r="C70">
        <v>444.93</v>
      </c>
      <c r="D70">
        <v>589.24</v>
      </c>
      <c r="E70">
        <v>41.73</v>
      </c>
    </row>
    <row r="71" spans="1:5" x14ac:dyDescent="0.35">
      <c r="A71">
        <v>2017</v>
      </c>
      <c r="B71">
        <v>2</v>
      </c>
      <c r="C71">
        <v>388.77</v>
      </c>
      <c r="D71">
        <v>399.07</v>
      </c>
      <c r="E71">
        <v>47.28</v>
      </c>
    </row>
    <row r="72" spans="1:5" x14ac:dyDescent="0.35">
      <c r="A72">
        <v>2017</v>
      </c>
      <c r="B72">
        <v>3</v>
      </c>
      <c r="C72">
        <v>431.11</v>
      </c>
      <c r="D72">
        <v>83.62</v>
      </c>
      <c r="E72">
        <v>71.87</v>
      </c>
    </row>
    <row r="73" spans="1:5" x14ac:dyDescent="0.35">
      <c r="A73">
        <v>2017</v>
      </c>
      <c r="B73">
        <v>4</v>
      </c>
      <c r="C73">
        <v>523.98</v>
      </c>
      <c r="D73">
        <v>445.98</v>
      </c>
      <c r="E73">
        <v>57.26</v>
      </c>
    </row>
    <row r="74" spans="1:5" x14ac:dyDescent="0.35">
      <c r="A74">
        <v>2018</v>
      </c>
      <c r="B74">
        <v>1</v>
      </c>
      <c r="C74">
        <v>528.95000000000005</v>
      </c>
      <c r="D74">
        <v>452.96</v>
      </c>
      <c r="E74">
        <v>46.33</v>
      </c>
    </row>
    <row r="75" spans="1:5" x14ac:dyDescent="0.35">
      <c r="A75">
        <v>2018</v>
      </c>
      <c r="B75">
        <v>2</v>
      </c>
      <c r="C75">
        <v>436.25</v>
      </c>
      <c r="D75">
        <v>326.83999999999997</v>
      </c>
      <c r="E75">
        <v>47.67</v>
      </c>
    </row>
    <row r="76" spans="1:5" x14ac:dyDescent="0.35">
      <c r="A76">
        <v>2018</v>
      </c>
      <c r="B76">
        <v>3</v>
      </c>
      <c r="C76">
        <v>465.21</v>
      </c>
      <c r="D76">
        <v>58.07</v>
      </c>
      <c r="E76">
        <v>57.02</v>
      </c>
    </row>
    <row r="77" spans="1:5" x14ac:dyDescent="0.35">
      <c r="A77">
        <v>2018</v>
      </c>
      <c r="B77">
        <v>4</v>
      </c>
      <c r="C77">
        <v>515.70000000000005</v>
      </c>
      <c r="D77">
        <v>236.79</v>
      </c>
      <c r="E77">
        <v>63.91</v>
      </c>
    </row>
    <row r="78" spans="1:5" x14ac:dyDescent="0.35">
      <c r="A78">
        <v>2019</v>
      </c>
      <c r="B78">
        <v>1</v>
      </c>
      <c r="C78">
        <v>371.12</v>
      </c>
      <c r="D78">
        <v>352.08</v>
      </c>
      <c r="E78">
        <v>38.119999999999997</v>
      </c>
    </row>
    <row r="79" spans="1:5" x14ac:dyDescent="0.35">
      <c r="A79">
        <v>2019</v>
      </c>
      <c r="B79">
        <v>2</v>
      </c>
      <c r="C79">
        <v>454.68</v>
      </c>
      <c r="D79">
        <v>379.07</v>
      </c>
      <c r="E79">
        <v>41.29</v>
      </c>
    </row>
    <row r="80" spans="1:5" x14ac:dyDescent="0.35">
      <c r="A80">
        <v>2019</v>
      </c>
      <c r="B80">
        <v>3</v>
      </c>
      <c r="C80">
        <v>540.91</v>
      </c>
      <c r="D80">
        <v>106.98</v>
      </c>
      <c r="E80">
        <v>71.02</v>
      </c>
    </row>
    <row r="81" spans="1:5" x14ac:dyDescent="0.35">
      <c r="A81">
        <v>2019</v>
      </c>
      <c r="B81">
        <v>4</v>
      </c>
      <c r="C81">
        <v>579.08000000000004</v>
      </c>
      <c r="D81">
        <v>388.21</v>
      </c>
      <c r="E81">
        <v>55.06</v>
      </c>
    </row>
    <row r="82" spans="1:5" x14ac:dyDescent="0.35">
      <c r="A82">
        <v>2020</v>
      </c>
      <c r="B82">
        <v>1</v>
      </c>
      <c r="C82">
        <v>412.13</v>
      </c>
      <c r="D82">
        <v>535.17999999999995</v>
      </c>
      <c r="E82">
        <v>42.45</v>
      </c>
    </row>
    <row r="83" spans="1:5" x14ac:dyDescent="0.35">
      <c r="A83">
        <v>2020</v>
      </c>
      <c r="B83">
        <v>2</v>
      </c>
      <c r="C83">
        <v>564.70000000000005</v>
      </c>
      <c r="D83">
        <v>313.06</v>
      </c>
      <c r="E83">
        <v>39.92</v>
      </c>
    </row>
    <row r="84" spans="1:5" x14ac:dyDescent="0.35">
      <c r="A84">
        <v>2020</v>
      </c>
      <c r="B84">
        <v>3</v>
      </c>
      <c r="C84">
        <v>404.21</v>
      </c>
      <c r="D84">
        <v>93.58</v>
      </c>
      <c r="E84">
        <v>62.78</v>
      </c>
    </row>
    <row r="85" spans="1:5" x14ac:dyDescent="0.35">
      <c r="A85">
        <v>2020</v>
      </c>
      <c r="B85">
        <v>4</v>
      </c>
      <c r="C85">
        <v>572.63</v>
      </c>
      <c r="D85">
        <v>525.99</v>
      </c>
      <c r="E85">
        <v>59.35</v>
      </c>
    </row>
    <row r="86" spans="1:5" x14ac:dyDescent="0.35">
      <c r="A86">
        <v>2021</v>
      </c>
      <c r="B86">
        <v>1</v>
      </c>
      <c r="C86">
        <v>419.43</v>
      </c>
      <c r="D86">
        <v>503.54</v>
      </c>
      <c r="E86">
        <v>40.51</v>
      </c>
    </row>
    <row r="87" spans="1:5" x14ac:dyDescent="0.35">
      <c r="A87">
        <v>2021</v>
      </c>
      <c r="B87">
        <v>2</v>
      </c>
      <c r="C87">
        <v>431.6</v>
      </c>
      <c r="D87">
        <v>273.08999999999997</v>
      </c>
      <c r="E87">
        <v>36.06</v>
      </c>
    </row>
    <row r="88" spans="1:5" x14ac:dyDescent="0.35">
      <c r="A88">
        <v>2021</v>
      </c>
      <c r="B88">
        <v>3</v>
      </c>
      <c r="C88">
        <v>355.18</v>
      </c>
      <c r="D88">
        <v>93.53</v>
      </c>
      <c r="E88">
        <v>95.63</v>
      </c>
    </row>
    <row r="89" spans="1:5" x14ac:dyDescent="0.35">
      <c r="A89">
        <v>2021</v>
      </c>
      <c r="B89">
        <v>4</v>
      </c>
      <c r="C89">
        <v>516.12</v>
      </c>
      <c r="D89">
        <v>647.11</v>
      </c>
      <c r="E89">
        <v>49.16</v>
      </c>
    </row>
    <row r="90" spans="1:5" x14ac:dyDescent="0.35">
      <c r="A90">
        <v>2022</v>
      </c>
      <c r="B90">
        <v>1</v>
      </c>
      <c r="C90">
        <v>351.26</v>
      </c>
      <c r="D90">
        <v>574.1</v>
      </c>
      <c r="E90">
        <v>37.56</v>
      </c>
    </row>
    <row r="91" spans="1:5" x14ac:dyDescent="0.35">
      <c r="A91">
        <v>2022</v>
      </c>
      <c r="B91">
        <v>2</v>
      </c>
      <c r="C91">
        <v>467.07</v>
      </c>
      <c r="D91">
        <v>211.69</v>
      </c>
      <c r="E91">
        <v>36.520000000000003</v>
      </c>
    </row>
    <row r="92" spans="1:5" x14ac:dyDescent="0.35">
      <c r="A92">
        <v>2022</v>
      </c>
      <c r="B92">
        <v>3</v>
      </c>
      <c r="C92">
        <v>367.37</v>
      </c>
      <c r="D92">
        <v>115.32</v>
      </c>
      <c r="E92">
        <v>64.349999999999994</v>
      </c>
    </row>
    <row r="93" spans="1:5" x14ac:dyDescent="0.35">
      <c r="A93">
        <v>2022</v>
      </c>
      <c r="B93">
        <v>4</v>
      </c>
      <c r="C93">
        <v>568.36</v>
      </c>
      <c r="D93">
        <v>1066.27</v>
      </c>
      <c r="E93">
        <v>57.88</v>
      </c>
    </row>
    <row r="94" spans="1:5" x14ac:dyDescent="0.35">
      <c r="A94">
        <v>2023</v>
      </c>
      <c r="B94">
        <v>1</v>
      </c>
      <c r="C94">
        <v>426.27</v>
      </c>
      <c r="D94">
        <v>409.36</v>
      </c>
      <c r="E94">
        <v>38.619999999999997</v>
      </c>
    </row>
    <row r="95" spans="1:5" x14ac:dyDescent="0.35">
      <c r="A95">
        <v>2023</v>
      </c>
      <c r="B95">
        <v>2</v>
      </c>
      <c r="C95">
        <v>557.24</v>
      </c>
      <c r="D95">
        <v>269.05</v>
      </c>
      <c r="E95">
        <v>28.2</v>
      </c>
    </row>
    <row r="96" spans="1:5" x14ac:dyDescent="0.35">
      <c r="A96">
        <v>2023</v>
      </c>
      <c r="B96">
        <v>3</v>
      </c>
      <c r="C96">
        <v>357.27</v>
      </c>
      <c r="D96">
        <v>60.71</v>
      </c>
      <c r="E96">
        <v>68.3</v>
      </c>
    </row>
    <row r="97" spans="1:5" x14ac:dyDescent="0.35">
      <c r="A97">
        <v>2023</v>
      </c>
      <c r="B97">
        <v>4</v>
      </c>
      <c r="C97">
        <v>543.54999999999995</v>
      </c>
      <c r="D97">
        <v>669.21</v>
      </c>
      <c r="E97">
        <v>65.069999999999993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A36C51-AC83-420D-8EA4-63E2EEE32691}">
  <dimension ref="B3:G23"/>
  <sheetViews>
    <sheetView workbookViewId="0">
      <selection activeCell="E4" sqref="E4"/>
    </sheetView>
  </sheetViews>
  <sheetFormatPr defaultRowHeight="14.5" x14ac:dyDescent="0.35"/>
  <cols>
    <col min="2" max="2" width="20.7265625" bestFit="1" customWidth="1"/>
    <col min="3" max="3" width="12.1796875" bestFit="1" customWidth="1"/>
    <col min="4" max="7" width="11.1796875" bestFit="1" customWidth="1"/>
  </cols>
  <sheetData>
    <row r="3" spans="2:7" x14ac:dyDescent="0.35">
      <c r="C3" s="9" t="s">
        <v>31</v>
      </c>
      <c r="D3" s="9">
        <v>1</v>
      </c>
      <c r="E3" s="9">
        <v>2</v>
      </c>
      <c r="F3" s="9">
        <v>3</v>
      </c>
      <c r="G3" s="9">
        <v>4</v>
      </c>
    </row>
    <row r="4" spans="2:7" x14ac:dyDescent="0.35">
      <c r="B4" s="9" t="s">
        <v>19</v>
      </c>
      <c r="D4">
        <v>200</v>
      </c>
      <c r="E4">
        <f>D7</f>
        <v>60</v>
      </c>
      <c r="F4">
        <f>E7</f>
        <v>68</v>
      </c>
      <c r="G4">
        <f>F7</f>
        <v>503</v>
      </c>
    </row>
    <row r="5" spans="2:7" x14ac:dyDescent="0.35">
      <c r="B5" s="9" t="s">
        <v>27</v>
      </c>
      <c r="D5" s="8">
        <v>484</v>
      </c>
      <c r="E5" s="8">
        <v>404</v>
      </c>
      <c r="F5" s="8">
        <v>545</v>
      </c>
      <c r="G5" s="8">
        <v>57</v>
      </c>
    </row>
    <row r="6" spans="2:7" x14ac:dyDescent="0.35">
      <c r="B6" s="9" t="s">
        <v>28</v>
      </c>
      <c r="D6">
        <v>624</v>
      </c>
      <c r="E6">
        <v>396</v>
      </c>
      <c r="F6">
        <v>110</v>
      </c>
      <c r="G6">
        <v>509</v>
      </c>
    </row>
    <row r="7" spans="2:7" x14ac:dyDescent="0.35">
      <c r="B7" s="9" t="s">
        <v>29</v>
      </c>
      <c r="D7" s="8">
        <f>D4+D5-D6</f>
        <v>60</v>
      </c>
      <c r="E7" s="8">
        <f t="shared" ref="E7:G7" si="0">E4+E5-E6</f>
        <v>68</v>
      </c>
      <c r="F7" s="8">
        <f t="shared" si="0"/>
        <v>503</v>
      </c>
      <c r="G7" s="8">
        <f t="shared" si="0"/>
        <v>51</v>
      </c>
    </row>
    <row r="8" spans="2:7" x14ac:dyDescent="0.35">
      <c r="B8" s="9"/>
    </row>
    <row r="9" spans="2:7" x14ac:dyDescent="0.35">
      <c r="B9" s="9"/>
    </row>
    <row r="10" spans="2:7" x14ac:dyDescent="0.35">
      <c r="B10" s="9" t="s">
        <v>20</v>
      </c>
      <c r="D10">
        <v>496</v>
      </c>
      <c r="E10">
        <v>404</v>
      </c>
      <c r="F10">
        <v>545</v>
      </c>
      <c r="G10">
        <v>453</v>
      </c>
    </row>
    <row r="11" spans="2:7" x14ac:dyDescent="0.35">
      <c r="B11" s="9"/>
    </row>
    <row r="12" spans="2:7" x14ac:dyDescent="0.35">
      <c r="B12" s="9" t="s">
        <v>21</v>
      </c>
      <c r="D12">
        <v>60</v>
      </c>
      <c r="E12">
        <v>40</v>
      </c>
      <c r="F12">
        <v>11</v>
      </c>
      <c r="G12">
        <v>51</v>
      </c>
    </row>
    <row r="13" spans="2:7" x14ac:dyDescent="0.35">
      <c r="B13" s="9"/>
    </row>
    <row r="14" spans="2:7" x14ac:dyDescent="0.35">
      <c r="B14" s="9"/>
    </row>
    <row r="15" spans="2:7" x14ac:dyDescent="0.35">
      <c r="B15" s="9" t="s">
        <v>22</v>
      </c>
      <c r="D15">
        <f>(D4+D7)/2</f>
        <v>130</v>
      </c>
      <c r="E15">
        <f t="shared" ref="E15:G15" si="1">(E4+E7)/2</f>
        <v>64</v>
      </c>
      <c r="F15">
        <f t="shared" si="1"/>
        <v>285.5</v>
      </c>
      <c r="G15">
        <f t="shared" si="1"/>
        <v>277</v>
      </c>
    </row>
    <row r="16" spans="2:7" x14ac:dyDescent="0.35">
      <c r="B16" s="9"/>
    </row>
    <row r="17" spans="2:7" x14ac:dyDescent="0.35">
      <c r="B17" s="9" t="s">
        <v>23</v>
      </c>
      <c r="D17" s="10">
        <v>48</v>
      </c>
      <c r="E17" s="10">
        <v>48</v>
      </c>
      <c r="F17" s="10">
        <v>56</v>
      </c>
      <c r="G17" s="10">
        <v>46</v>
      </c>
    </row>
    <row r="18" spans="2:7" x14ac:dyDescent="0.35">
      <c r="B18" s="9" t="s">
        <v>30</v>
      </c>
      <c r="D18" s="10">
        <f>D17*1.68</f>
        <v>80.64</v>
      </c>
      <c r="E18" s="10">
        <f t="shared" ref="E18:G18" si="2">E17*1.68</f>
        <v>80.64</v>
      </c>
      <c r="F18" s="10">
        <f t="shared" si="2"/>
        <v>94.08</v>
      </c>
      <c r="G18" s="10">
        <f t="shared" si="2"/>
        <v>77.28</v>
      </c>
    </row>
    <row r="19" spans="2:7" x14ac:dyDescent="0.35">
      <c r="B19" s="9"/>
      <c r="D19" s="10"/>
      <c r="E19" s="10"/>
      <c r="F19" s="10"/>
      <c r="G19" s="10"/>
    </row>
    <row r="20" spans="2:7" x14ac:dyDescent="0.35">
      <c r="B20" s="9" t="s">
        <v>24</v>
      </c>
      <c r="D20" s="10">
        <f>D5*D17</f>
        <v>23232</v>
      </c>
      <c r="E20" s="10">
        <f t="shared" ref="E20:G20" si="3">E5*E17</f>
        <v>19392</v>
      </c>
      <c r="F20" s="10">
        <f t="shared" si="3"/>
        <v>30520</v>
      </c>
      <c r="G20" s="10">
        <f t="shared" si="3"/>
        <v>2622</v>
      </c>
    </row>
    <row r="21" spans="2:7" x14ac:dyDescent="0.35">
      <c r="B21" s="9" t="s">
        <v>25</v>
      </c>
      <c r="D21" s="10">
        <f>D15*D18</f>
        <v>10483.200000000001</v>
      </c>
      <c r="E21" s="10">
        <f t="shared" ref="E21:G21" si="4">E15*E18</f>
        <v>5160.96</v>
      </c>
      <c r="F21" s="10">
        <f t="shared" si="4"/>
        <v>26859.84</v>
      </c>
      <c r="G21" s="10">
        <f t="shared" si="4"/>
        <v>21406.560000000001</v>
      </c>
    </row>
    <row r="22" spans="2:7" x14ac:dyDescent="0.35">
      <c r="B22" s="9"/>
    </row>
    <row r="23" spans="2:7" x14ac:dyDescent="0.35">
      <c r="B23" s="9" t="s">
        <v>26</v>
      </c>
      <c r="C23" s="10" cm="1">
        <f t="array" ref="C23">SUM(D20:G20+D21:G21)</f>
        <v>139676.56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62775453-3938-4fc9-879a-0b66d953608e"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0C45F8C38E2F7449B81D360E8EC28DF" ma:contentTypeVersion="14" ma:contentTypeDescription="Create a new document." ma:contentTypeScope="" ma:versionID="27debc36873ec148a9f4fc7174f4a13e">
  <xsd:schema xmlns:xsd="http://www.w3.org/2001/XMLSchema" xmlns:xs="http://www.w3.org/2001/XMLSchema" xmlns:p="http://schemas.microsoft.com/office/2006/metadata/properties" xmlns:ns3="580d1518-9a38-4efc-9256-c61c5ecdae13" xmlns:ns4="62775453-3938-4fc9-879a-0b66d953608e" targetNamespace="http://schemas.microsoft.com/office/2006/metadata/properties" ma:root="true" ma:fieldsID="c29a525084485e219bf7f171ab5ec2e6" ns3:_="" ns4:_="">
    <xsd:import namespace="580d1518-9a38-4efc-9256-c61c5ecdae13"/>
    <xsd:import namespace="62775453-3938-4fc9-879a-0b66d953608e"/>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_activity" minOccurs="0"/>
                <xsd:element ref="ns4:MediaServiceAutoTags" minOccurs="0"/>
                <xsd:element ref="ns4:MediaServiceOCR" minOccurs="0"/>
                <xsd:element ref="ns4:MediaServiceGenerationTime" minOccurs="0"/>
                <xsd:element ref="ns4:MediaServiceEventHashCode" minOccurs="0"/>
                <xsd:element ref="ns4:MediaServiceObjectDetectorVersions" minOccurs="0"/>
                <xsd:element ref="ns4:MediaServiceDateTaken"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0d1518-9a38-4efc-9256-c61c5ecdae13"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2775453-3938-4fc9-879a-0b66d953608e"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2C907D2-67B9-4B13-99A5-E8FFA1CDC853}">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62775453-3938-4fc9-879a-0b66d953608e"/>
    <ds:schemaRef ds:uri="580d1518-9a38-4efc-9256-c61c5ecdae13"/>
    <ds:schemaRef ds:uri="http://www.w3.org/XML/1998/namespace"/>
    <ds:schemaRef ds:uri="http://purl.org/dc/dcmitype/"/>
  </ds:schemaRefs>
</ds:datastoreItem>
</file>

<file path=customXml/itemProps2.xml><?xml version="1.0" encoding="utf-8"?>
<ds:datastoreItem xmlns:ds="http://schemas.openxmlformats.org/officeDocument/2006/customXml" ds:itemID="{858D6E75-E82B-42FC-8134-A12DCFF5660E}">
  <ds:schemaRefs>
    <ds:schemaRef ds:uri="http://schemas.microsoft.com/sharepoint/v3/contenttype/forms"/>
  </ds:schemaRefs>
</ds:datastoreItem>
</file>

<file path=customXml/itemProps3.xml><?xml version="1.0" encoding="utf-8"?>
<ds:datastoreItem xmlns:ds="http://schemas.openxmlformats.org/officeDocument/2006/customXml" ds:itemID="{4D588C51-EAB2-4141-87A3-B2D7460CF4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0d1518-9a38-4efc-9256-c61c5ecdae13"/>
    <ds:schemaRef ds:uri="62775453-3938-4fc9-879a-0b66d95360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Aggregated Data</vt:lpstr>
      <vt:lpstr>Yearly Aggregated Data</vt:lpstr>
      <vt:lpstr>Data</vt:lpstr>
      <vt:lpstr>Model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student</dc:creator>
  <cp:lastModifiedBy>Addison Morin</cp:lastModifiedBy>
  <dcterms:created xsi:type="dcterms:W3CDTF">2025-02-19T23:32:06Z</dcterms:created>
  <dcterms:modified xsi:type="dcterms:W3CDTF">2025-02-20T01:50:42Z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0x010100C0C45F8C38E2F7449B81D360E8EC28DF</vt:lpwstr>
  </property>
</Properties>
</file>